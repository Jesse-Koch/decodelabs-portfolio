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t\Data Analysis\DecodeLabs\"/>
    </mc:Choice>
  </mc:AlternateContent>
  <xr:revisionPtr revIDLastSave="0" documentId="13_ncr:1_{F63E7EE8-E119-4201-B90C-90BB19E20D4D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 (2)" sheetId="2" r:id="rId1"/>
    <sheet name="Sheet1" sheetId="1" r:id="rId2"/>
  </sheets>
  <definedNames>
    <definedName name="ExternalData_1" localSheetId="0" hidden="1">'Sheet1 (2)'!$A$1:$N$1201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8" i="2" l="1"/>
  <c r="X7" i="2"/>
  <c r="U2" i="2"/>
  <c r="X6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X4" i="2" l="1"/>
  <c r="X3" i="2"/>
  <c r="X5" i="2"/>
  <c r="X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00431C-B801-4A7C-9242-C85E043E1E8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<sst xmlns="http://schemas.openxmlformats.org/spreadsheetml/2006/main" count="22526" uniqueCount="4962">
  <si>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</si>
  <si>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</si>
  <si>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</si>
  <si>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</si>
  <si>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</si>
  <si>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</si>
  <si>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</si>
  <si>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</si>
  <si>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</si>
  <si>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</si>
  <si>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</si>
  <si>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</si>
  <si>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</si>
  <si>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</si>
  <si>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</si>
  <si>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</si>
  <si>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</si>
  <si>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</si>
  <si>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</si>
  <si>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</si>
  <si>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</si>
  <si>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</si>
  <si>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</si>
  <si>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</si>
  <si>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</si>
  <si>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</si>
  <si>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</si>
  <si>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</si>
  <si>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</si>
  <si>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</si>
  <si>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</si>
  <si>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</si>
  <si>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</si>
  <si>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</si>
  <si>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</si>
  <si>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</si>
  <si>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</si>
  <si>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</si>
  <si>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</si>
  <si>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</si>
  <si>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</si>
  <si>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</si>
  <si>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</si>
  <si>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</si>
  <si>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</si>
  <si>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</si>
  <si>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</si>
  <si>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</si>
  <si>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</si>
  <si>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</si>
  <si>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</si>
  <si>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</si>
  <si>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</si>
  <si>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</si>
  <si>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</si>
  <si>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</si>
  <si>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</si>
  <si>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</si>
  <si>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</si>
  <si>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</si>
  <si>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</si>
  <si>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</si>
  <si>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</si>
  <si>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</si>
  <si>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</si>
  <si>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</si>
  <si>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</si>
  <si>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</si>
  <si>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</si>
  <si>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</si>
  <si>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</si>
  <si>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</si>
  <si>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</si>
  <si>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</si>
  <si>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</si>
  <si>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</si>
  <si>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</si>
  <si>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</si>
  <si>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</si>
  <si>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</si>
  <si>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</si>
  <si>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</si>
  <si>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</si>
  <si>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</si>
  <si>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</si>
  <si>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</si>
  <si>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</si>
  <si>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</si>
  <si>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</si>
  <si>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</si>
  <si>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</si>
  <si>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</si>
  <si>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</si>
  <si>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</si>
  <si>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</si>
  <si>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</si>
  <si>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</si>
  <si>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</si>
  <si>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</si>
  <si>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</si>
  <si>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</si>
  <si>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</si>
  <si>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</si>
  <si>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</si>
  <si>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</si>
  <si>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</si>
  <si>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</si>
  <si>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</si>
  <si>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</si>
  <si>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</si>
  <si>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</si>
  <si>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</si>
  <si>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</si>
  <si>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</si>
  <si>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</si>
  <si>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</si>
  <si>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</si>
  <si>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</si>
  <si>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</si>
  <si>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</si>
  <si>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</si>
  <si>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</si>
  <si>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</si>
  <si>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</si>
  <si>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</si>
  <si>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</si>
  <si>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</si>
  <si>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</si>
  <si>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</si>
  <si>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</si>
  <si>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</si>
  <si>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</si>
  <si>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</si>
  <si>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</si>
  <si>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</si>
  <si>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</si>
  <si>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</si>
  <si>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</si>
  <si>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</si>
  <si>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</si>
  <si>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</si>
  <si>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</si>
  <si>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</si>
  <si>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</si>
  <si>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</si>
  <si>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</si>
  <si>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</si>
  <si>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</si>
  <si>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</si>
  <si>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</si>
  <si>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</si>
  <si>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</si>
  <si>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</si>
  <si>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</si>
  <si>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</si>
  <si>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</si>
  <si>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</si>
  <si>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</si>
  <si>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</si>
  <si>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</si>
  <si>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</si>
  <si>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</si>
  <si>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</si>
  <si>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</si>
  <si>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</si>
  <si>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</si>
  <si>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</si>
  <si>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</si>
  <si>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</si>
  <si>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</si>
  <si>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</si>
  <si>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</si>
  <si>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</si>
  <si>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</si>
  <si>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</si>
  <si>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</si>
  <si>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</si>
  <si>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</si>
  <si>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</si>
  <si>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</si>
  <si>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</si>
  <si>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</si>
  <si>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</si>
  <si>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</si>
  <si>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</si>
  <si>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</si>
  <si>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</si>
  <si>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</si>
  <si>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</si>
  <si>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</si>
  <si>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</si>
  <si>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</si>
  <si>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</si>
  <si>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</si>
  <si>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</si>
  <si>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</si>
  <si>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</si>
  <si>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</si>
  <si>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</si>
  <si>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</si>
  <si>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</si>
  <si>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</si>
  <si>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</si>
  <si>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</si>
  <si>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</si>
  <si>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</si>
  <si>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</si>
  <si>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</si>
  <si>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</si>
  <si>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</si>
  <si>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</si>
  <si>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</si>
  <si>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</si>
  <si>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</si>
  <si>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</si>
  <si>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</si>
  <si>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</si>
  <si>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</si>
  <si>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</si>
  <si>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</si>
  <si>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</si>
  <si>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</si>
  <si>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</si>
  <si>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</si>
  <si>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</si>
  <si>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</si>
  <si>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</si>
  <si>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</si>
  <si>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</si>
  <si>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</si>
  <si>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</si>
  <si>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</si>
  <si>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</si>
  <si>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</si>
  <si>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</si>
  <si>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</si>
  <si>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</si>
  <si>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</si>
  <si>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</si>
  <si>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</si>
  <si>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</si>
  <si>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</si>
  <si>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</si>
  <si>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</si>
  <si>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</si>
  <si>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</si>
  <si>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</si>
  <si>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</si>
  <si>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</si>
  <si>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</si>
  <si>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</si>
  <si>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</si>
  <si>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</si>
  <si>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</si>
  <si>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</si>
  <si>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</si>
  <si>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</si>
  <si>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</si>
  <si>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</si>
  <si>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</si>
  <si>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</si>
  <si>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</si>
  <si>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</si>
  <si>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</si>
  <si>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</si>
  <si>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</si>
  <si>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</si>
  <si>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</si>
  <si>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</si>
  <si>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</si>
  <si>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</si>
  <si>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</si>
  <si>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</si>
  <si>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</si>
  <si>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</si>
  <si>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</si>
  <si>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</si>
  <si>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</si>
  <si>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</si>
  <si>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</si>
  <si>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</si>
  <si>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</si>
  <si>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</si>
  <si>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</si>
  <si>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</si>
  <si>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</si>
  <si>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</si>
  <si>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</si>
  <si>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</si>
  <si>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</si>
  <si>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</si>
  <si>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</si>
  <si>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</si>
  <si>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</si>
  <si>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</si>
  <si>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</si>
  <si>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</si>
  <si>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</si>
  <si>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</si>
  <si>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</si>
  <si>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</si>
  <si>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</si>
  <si>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</si>
  <si>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</si>
  <si>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</si>
  <si>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</si>
  <si>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</si>
  <si>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</si>
  <si>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</si>
  <si>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</si>
  <si>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</si>
  <si>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</si>
  <si>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</si>
  <si>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</si>
  <si>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</si>
  <si>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</si>
  <si>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</si>
  <si>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</si>
  <si>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</si>
  <si>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</si>
  <si>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</si>
  <si>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</si>
  <si>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</si>
  <si>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</si>
  <si>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</si>
  <si>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</si>
  <si>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</si>
  <si>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</si>
  <si>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</si>
  <si>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</si>
  <si>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</si>
  <si>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</si>
  <si>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</si>
  <si>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</si>
  <si>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</si>
  <si>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</si>
  <si>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</si>
  <si>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</si>
  <si>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</si>
  <si>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</si>
  <si>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</si>
  <si>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</si>
  <si>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</si>
  <si>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</si>
  <si>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</si>
  <si>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</si>
  <si>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</si>
  <si>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</si>
  <si>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</si>
  <si>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</si>
  <si>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</si>
  <si>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</si>
  <si>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</si>
  <si>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</si>
  <si>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</si>
  <si>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</si>
  <si>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</si>
  <si>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</si>
  <si>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</si>
  <si>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</si>
  <si>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</si>
  <si>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</si>
  <si>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</si>
  <si>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</si>
  <si>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</si>
  <si>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</si>
  <si>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</si>
  <si>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</si>
  <si>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</si>
  <si>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</si>
  <si>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</si>
  <si>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</si>
  <si>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</si>
  <si>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</si>
  <si>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</si>
  <si>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</si>
  <si>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</si>
  <si>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</si>
  <si>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</si>
  <si>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</si>
  <si>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</si>
  <si>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</si>
  <si>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</si>
  <si>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</si>
  <si>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</si>
  <si>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</si>
  <si>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</si>
  <si>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</si>
  <si>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</si>
  <si>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</si>
  <si>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</si>
  <si>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</si>
  <si>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</si>
  <si>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</si>
  <si>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</si>
  <si>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</si>
  <si>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</si>
  <si>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</si>
  <si>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</si>
  <si>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</si>
  <si>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</si>
  <si>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</si>
  <si>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</si>
  <si>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</si>
  <si>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</si>
  <si>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</si>
  <si>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</si>
  <si>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</si>
  <si>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</si>
  <si>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</si>
  <si>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</si>
  <si>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</si>
  <si>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</si>
  <si>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</si>
  <si>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</si>
  <si>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</si>
  <si>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</si>
  <si>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</si>
  <si>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</si>
  <si>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</si>
  <si>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</si>
  <si>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</si>
  <si>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</si>
  <si>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</si>
  <si>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</si>
  <si>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</si>
  <si>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</si>
  <si>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</si>
  <si>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</si>
  <si>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</si>
  <si>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</si>
  <si>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</si>
  <si>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</si>
  <si>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</si>
  <si>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</si>
  <si>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</si>
  <si>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</si>
  <si>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</si>
  <si>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</si>
  <si>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</si>
  <si>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</si>
  <si>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</si>
  <si>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</si>
  <si>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</si>
  <si>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</si>
  <si>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</si>
  <si>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</si>
  <si>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</si>
  <si>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</si>
  <si>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</si>
  <si>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</si>
  <si>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</si>
  <si>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</si>
  <si>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</si>
  <si>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</si>
  <si>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</si>
  <si>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</si>
  <si>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</si>
  <si>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</si>
  <si>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</si>
  <si>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</si>
  <si>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</si>
  <si>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</si>
  <si>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</si>
  <si>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</si>
  <si>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</si>
  <si>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</si>
  <si>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</si>
  <si>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</si>
  <si>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</si>
  <si>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</si>
  <si>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</si>
  <si>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</si>
  <si>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</si>
  <si>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</si>
  <si>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</si>
  <si>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</si>
  <si>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</si>
  <si>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</si>
  <si>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</si>
  <si>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</si>
  <si>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</si>
  <si>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</si>
  <si>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</si>
  <si>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</si>
  <si>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</si>
  <si>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</si>
  <si>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</si>
  <si>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</si>
  <si>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</si>
  <si>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</si>
  <si>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</si>
  <si>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</si>
  <si>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</si>
  <si>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</si>
  <si>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</si>
  <si>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</si>
  <si>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</si>
  <si>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</si>
  <si>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</si>
  <si>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</si>
  <si>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</si>
  <si>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</si>
  <si>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</si>
  <si>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</si>
  <si>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</si>
  <si>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</si>
  <si>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</si>
  <si>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</si>
  <si>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</si>
  <si>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</si>
  <si>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</si>
  <si>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</si>
  <si>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</si>
  <si>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</si>
  <si>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</si>
  <si>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</si>
  <si>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</si>
  <si>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</si>
  <si>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</si>
  <si>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</si>
  <si>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</si>
  <si>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</si>
  <si>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</si>
  <si>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</si>
  <si>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</si>
  <si>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</si>
  <si>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</si>
  <si>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</si>
  <si>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</si>
  <si>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</si>
  <si>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</si>
  <si>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</si>
  <si>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</si>
  <si>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</si>
  <si>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</si>
  <si>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</si>
  <si>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</si>
  <si>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</si>
  <si>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</si>
  <si>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</si>
  <si>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</si>
  <si>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</si>
  <si>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</si>
  <si>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</si>
  <si>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</si>
  <si>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</si>
  <si>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</si>
  <si>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</si>
  <si>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</si>
  <si>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</si>
  <si>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</si>
  <si>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</si>
  <si>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</si>
  <si>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</si>
  <si>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</si>
  <si>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</si>
  <si>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</si>
  <si>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</si>
  <si>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</si>
  <si>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</si>
  <si>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</si>
  <si>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</si>
  <si>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</si>
  <si>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</si>
  <si>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</si>
  <si>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</si>
  <si>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</si>
  <si>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</si>
  <si>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</si>
  <si>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</si>
  <si>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</si>
  <si>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</si>
  <si>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</si>
  <si>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</si>
  <si>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</si>
  <si>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</si>
  <si>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</si>
  <si>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</si>
  <si>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</si>
  <si>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</si>
  <si>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</si>
  <si>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</si>
  <si>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</si>
  <si>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</si>
  <si>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</si>
  <si>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</si>
  <si>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</si>
  <si>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</si>
  <si>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</si>
  <si>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</si>
  <si>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</si>
  <si>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</si>
  <si>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</si>
  <si>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</si>
  <si>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</si>
  <si>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</si>
  <si>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</si>
  <si>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</si>
  <si>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</si>
  <si>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</si>
  <si>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</si>
  <si>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</si>
  <si>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</si>
  <si>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</si>
  <si>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</si>
  <si>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</si>
  <si>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</si>
  <si>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</si>
  <si>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</si>
  <si>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</si>
  <si>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</si>
  <si>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</si>
  <si>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</si>
  <si>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</si>
  <si>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</si>
  <si>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</si>
  <si>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</si>
  <si>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</si>
  <si>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</si>
  <si>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</si>
  <si>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</si>
  <si>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</si>
  <si>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</si>
  <si>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</si>
  <si>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</si>
  <si>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</si>
  <si>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</si>
  <si>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</si>
  <si>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</si>
  <si>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</si>
  <si>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</si>
  <si>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</si>
  <si>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</si>
  <si>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</si>
  <si>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</si>
  <si>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</si>
  <si>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</si>
  <si>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</si>
  <si>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</si>
  <si>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</si>
  <si>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</si>
  <si>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</si>
  <si>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</si>
  <si>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</si>
  <si>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</si>
  <si>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</si>
  <si>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</si>
  <si>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</si>
  <si>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</si>
  <si>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</si>
  <si>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</si>
  <si>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</si>
  <si>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</si>
  <si>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</si>
  <si>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</si>
  <si>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</si>
  <si>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</si>
  <si>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</si>
  <si>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</si>
  <si>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</si>
  <si>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</si>
  <si>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</si>
  <si>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</si>
  <si>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</si>
  <si>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</si>
  <si>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</si>
  <si>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</si>
  <si>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</si>
  <si>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</si>
  <si>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</si>
  <si>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</si>
  <si>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</si>
  <si>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</si>
  <si>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</si>
  <si>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</si>
  <si>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</si>
  <si>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</si>
  <si>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</si>
  <si>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</si>
  <si>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</si>
  <si>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</si>
  <si>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</si>
  <si>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</si>
  <si>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</si>
  <si>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</si>
  <si>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</si>
  <si>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</si>
  <si>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</si>
  <si>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</si>
  <si>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</si>
  <si>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</si>
  <si>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</si>
  <si>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</si>
  <si>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</si>
  <si>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</si>
  <si>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</si>
  <si>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</si>
  <si>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</si>
  <si>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</si>
  <si>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</si>
  <si>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</si>
  <si>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</si>
  <si>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</si>
  <si>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</si>
  <si>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</si>
  <si>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</si>
  <si>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</si>
  <si>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</si>
  <si>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</si>
  <si>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</si>
  <si>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</si>
  <si>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</si>
  <si>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</si>
  <si>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</si>
  <si>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</si>
  <si>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</si>
  <si>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</si>
  <si>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</si>
  <si>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</si>
  <si>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</si>
  <si>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</si>
  <si>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</si>
  <si>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</si>
  <si>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</si>
  <si>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</si>
  <si>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</si>
  <si>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</si>
  <si>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</si>
  <si>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</si>
  <si>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</si>
  <si>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</si>
  <si>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</si>
  <si>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</si>
  <si>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</si>
  <si>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</si>
  <si>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</si>
  <si>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</si>
  <si>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</si>
  <si>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</si>
  <si>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</si>
  <si>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</si>
  <si>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</si>
  <si>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</si>
  <si>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</si>
  <si>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</si>
  <si>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</si>
  <si>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</si>
  <si>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</si>
  <si>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</si>
  <si>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</si>
  <si>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</si>
  <si>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</si>
  <si>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</si>
  <si>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</si>
  <si>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</si>
  <si>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</si>
  <si>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</si>
  <si>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</si>
  <si>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</si>
  <si>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</si>
  <si>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</si>
  <si>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</si>
  <si>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</si>
  <si>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</si>
  <si>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</si>
  <si>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</si>
  <si>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</si>
  <si>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</si>
  <si>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</si>
  <si>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</si>
  <si>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</si>
  <si>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</si>
  <si>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</si>
  <si>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</si>
  <si>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</si>
  <si>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</si>
  <si>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</si>
  <si>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</si>
  <si>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</si>
  <si>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</si>
  <si>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</si>
  <si>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</si>
  <si>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</si>
  <si>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</si>
  <si>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</si>
  <si>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</si>
  <si>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</si>
  <si>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</si>
  <si>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</si>
  <si>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</si>
  <si>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</si>
  <si>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</si>
  <si>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</si>
  <si>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</si>
  <si>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</si>
  <si>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</si>
  <si>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</si>
  <si>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</si>
  <si>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</si>
  <si>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</si>
  <si>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</si>
  <si>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</si>
  <si>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</si>
  <si>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</si>
  <si>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</si>
  <si>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</si>
  <si>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</si>
  <si>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</si>
  <si>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</si>
  <si>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</si>
  <si>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</si>
  <si>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</si>
  <si>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</si>
  <si>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</si>
  <si>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</si>
  <si>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</si>
  <si>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</si>
  <si>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</si>
  <si>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</si>
  <si>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</si>
  <si>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</si>
  <si>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</si>
  <si>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</si>
  <si>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</si>
  <si>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</si>
  <si>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</si>
  <si>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</si>
  <si>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</si>
  <si>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</si>
  <si>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</si>
  <si>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</si>
  <si>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</si>
  <si>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</si>
  <si>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</si>
  <si>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</si>
  <si>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</si>
  <si>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</si>
  <si>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</si>
  <si>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</si>
  <si>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</si>
  <si>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</si>
  <si>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</si>
  <si>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</si>
  <si>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</si>
  <si>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</si>
  <si>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</si>
  <si>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</si>
  <si>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</si>
  <si>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</si>
  <si>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</si>
  <si>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</si>
  <si>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</si>
  <si>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</si>
  <si>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</si>
  <si>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</si>
  <si>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</si>
  <si>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</si>
  <si>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</si>
  <si>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</si>
  <si>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</si>
  <si>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</si>
  <si>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</si>
  <si>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</si>
  <si>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</si>
  <si>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</si>
  <si>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</si>
  <si>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</si>
  <si>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</si>
  <si>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</si>
  <si>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</si>
  <si>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</si>
  <si>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</si>
  <si>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</si>
  <si>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</si>
  <si>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</si>
  <si>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</si>
  <si>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</si>
  <si>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</si>
  <si>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</si>
  <si>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</si>
  <si>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</si>
  <si>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</si>
  <si>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</si>
  <si>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</si>
  <si>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</si>
  <si>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</si>
  <si>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</si>
  <si>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</si>
  <si>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</si>
  <si>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</si>
  <si>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</si>
  <si>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</si>
  <si>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</si>
  <si>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</si>
  <si>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</si>
  <si>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</si>
  <si>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</si>
  <si>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</si>
  <si>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</si>
  <si>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</si>
  <si>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</si>
  <si>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</si>
  <si>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</si>
  <si>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</si>
  <si>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</si>
  <si>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</si>
  <si>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</si>
  <si>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</si>
  <si>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</si>
  <si>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</si>
  <si>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</si>
  <si>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</si>
  <si>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</si>
  <si>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</si>
  <si>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</si>
  <si>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</si>
  <si>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</si>
  <si>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</si>
  <si>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</si>
  <si>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</si>
  <si>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</si>
  <si>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</si>
  <si>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</si>
  <si>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</si>
  <si>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</si>
  <si>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</si>
  <si>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</si>
  <si>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</si>
  <si>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</si>
  <si>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</si>
  <si>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</si>
  <si>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</si>
  <si>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</si>
  <si>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</si>
  <si>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</si>
  <si>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</si>
  <si>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</si>
  <si>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</si>
  <si>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</si>
  <si>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</si>
  <si>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</si>
  <si>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</si>
  <si>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</si>
  <si>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</si>
  <si>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</si>
  <si>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</si>
  <si>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</si>
  <si>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</si>
  <si>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</si>
  <si>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</si>
  <si>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</si>
  <si>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</si>
  <si>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</si>
  <si>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</si>
  <si>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</si>
  <si>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</si>
  <si>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</si>
  <si>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</si>
  <si>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</si>
  <si>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</si>
  <si>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</si>
  <si>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</si>
  <si>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</si>
  <si>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</si>
  <si>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</si>
  <si>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</si>
  <si>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</si>
  <si>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</si>
  <si>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</si>
  <si>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</si>
  <si>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</si>
  <si>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</si>
  <si>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</si>
  <si>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</si>
  <si>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</si>
  <si>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</si>
  <si>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</si>
  <si>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</si>
  <si>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</si>
  <si>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</si>
  <si>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</si>
  <si>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</si>
  <si>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</si>
  <si>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</si>
  <si>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</si>
  <si>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</si>
  <si>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</si>
  <si>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</si>
  <si>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</si>
  <si>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</si>
  <si>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</si>
  <si>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</si>
  <si>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</si>
  <si>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</si>
  <si>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</si>
  <si>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</si>
  <si>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</si>
  <si>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</si>
  <si>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</si>
  <si>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</si>
  <si>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</si>
  <si>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</si>
  <si>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</si>
  <si>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</si>
  <si>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</si>
  <si>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</si>
  <si>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</si>
  <si>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</si>
  <si>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</si>
  <si>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</si>
  <si>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</si>
  <si>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</si>
  <si>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</si>
  <si>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</si>
  <si>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</si>
  <si>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</si>
  <si>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</si>
  <si>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</si>
  <si>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</si>
  <si>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</si>
  <si>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</si>
  <si>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</si>
  <si>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</si>
  <si>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</si>
  <si>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</si>
  <si>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</si>
  <si>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</si>
  <si>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</si>
  <si>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</si>
  <si>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</si>
  <si>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</si>
  <si>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</si>
  <si>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</si>
  <si>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</si>
  <si>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</si>
  <si>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</si>
  <si>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</si>
  <si>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</si>
  <si>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</si>
  <si>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</si>
  <si>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</si>
  <si>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</si>
  <si>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</si>
  <si>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</si>
  <si>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</si>
  <si>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</si>
  <si>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</si>
  <si>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</si>
  <si>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</si>
  <si>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</si>
  <si>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</si>
  <si>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</si>
  <si>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</si>
  <si>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</si>
  <si>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</si>
  <si>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</si>
  <si>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</si>
  <si>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</si>
  <si>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</si>
  <si>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</si>
  <si>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</si>
  <si>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</si>
  <si>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</si>
  <si>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</si>
  <si>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</si>
  <si>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</si>
  <si>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</si>
  <si>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</si>
  <si>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</si>
  <si>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</si>
  <si>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</si>
  <si>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</si>
  <si>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</si>
  <si>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</si>
  <si>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</si>
  <si>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</si>
  <si>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</si>
  <si>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</si>
  <si>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</si>
  <si>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</si>
  <si>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</si>
  <si>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</si>
  <si>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</si>
  <si>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</si>
  <si>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</si>
  <si>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</si>
  <si>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</si>
  <si>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</si>
  <si>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</si>
  <si>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</si>
  <si>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</si>
  <si>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</si>
  <si>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</si>
  <si>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</si>
  <si>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</si>
  <si>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</si>
  <si>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</si>
  <si>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</si>
  <si>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</si>
  <si>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</si>
  <si>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</si>
  <si>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</si>
  <si>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</si>
  <si>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</si>
  <si>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</si>
  <si>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</si>
  <si>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</si>
  <si>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</si>
  <si>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</si>
  <si>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</si>
  <si>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</si>
  <si>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</si>
  <si>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</si>
  <si>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</si>
  <si>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</si>
  <si>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</si>
  <si>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</si>
  <si>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</si>
  <si>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</si>
  <si>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</si>
  <si>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</si>
  <si>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</si>
  <si>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</si>
  <si>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</si>
  <si>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</si>
  <si>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</si>
  <si>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</si>
  <si>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</si>
  <si>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</si>
  <si>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</si>
  <si>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</si>
  <si>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</si>
  <si>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</si>
  <si>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</si>
  <si>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</si>
  <si>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</si>
  <si>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</si>
  <si>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</si>
  <si>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</si>
  <si>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</si>
  <si>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</si>
  <si>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</si>
  <si>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</si>
  <si>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</si>
  <si>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</si>
  <si>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</si>
  <si>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</si>
  <si>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</si>
  <si>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</si>
  <si>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</si>
  <si>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</si>
  <si>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</si>
  <si>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</si>
  <si>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</si>
  <si>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</si>
  <si>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</si>
  <si>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</si>
  <si>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</si>
  <si>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</si>
  <si>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</si>
  <si>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</si>
  <si>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</si>
  <si>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</si>
  <si>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</si>
  <si>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</si>
  <si>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</si>
  <si>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</si>
  <si>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</si>
  <si>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</si>
  <si>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</si>
  <si>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</si>
  <si>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</si>
  <si>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</si>
  <si>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</si>
  <si>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</si>
  <si>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</si>
  <si>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</si>
  <si>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</si>
  <si>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</si>
  <si>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</si>
  <si>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</si>
  <si>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</si>
  <si>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</si>
  <si>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</si>
  <si>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</si>
  <si>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</si>
  <si>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</si>
  <si>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</si>
  <si>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</si>
  <si>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</si>
  <si>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</si>
  <si>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</si>
  <si>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</si>
  <si>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</si>
  <si>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</si>
  <si>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</si>
  <si>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</si>
  <si>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</si>
  <si>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</si>
  <si>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</si>
  <si>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</si>
  <si>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</si>
  <si>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</si>
  <si>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</si>
  <si>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</si>
  <si>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</si>
  <si>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</si>
  <si>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</si>
  <si>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</si>
  <si>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</si>
  <si>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</si>
  <si>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</si>
  <si>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</si>
  <si>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</si>
  <si>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</si>
  <si>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</si>
  <si>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</si>
  <si>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</si>
  <si>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</si>
  <si>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</si>
  <si>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</si>
  <si>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</si>
  <si>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</si>
  <si>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</si>
  <si>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</si>
  <si>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</si>
  <si>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</si>
  <si>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</si>
  <si>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</si>
  <si>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</si>
  <si>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</si>
  <si>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</si>
  <si>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</si>
  <si>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</si>
  <si>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</si>
  <si>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</si>
  <si>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</si>
  <si>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</si>
  <si>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</si>
  <si>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</si>
  <si>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</si>
  <si>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</si>
  <si>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</si>
  <si>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</si>
  <si>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</si>
  <si>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</si>
  <si>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</si>
  <si>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</si>
  <si>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</si>
  <si>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</si>
  <si>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</si>
  <si>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</si>
  <si>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</si>
  <si>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</si>
  <si>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</si>
  <si>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</si>
  <si>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</si>
  <si>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</si>
  <si>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</si>
  <si>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</si>
  <si>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</si>
  <si>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</si>
  <si>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</si>
  <si>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</si>
  <si>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</si>
  <si>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</si>
  <si>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</si>
  <si>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</si>
  <si>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</si>
  <si>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</si>
  <si>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</si>
  <si>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</si>
  <si>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</si>
  <si>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</si>
  <si>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</si>
  <si>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</si>
  <si>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</si>
  <si>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</si>
  <si>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</si>
  <si>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</si>
  <si>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</si>
  <si>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</si>
  <si>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</si>
  <si>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</si>
  <si>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</si>
  <si>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</si>
  <si>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</si>
  <si>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</si>
  <si>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</si>
  <si>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</si>
  <si>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</si>
  <si>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</si>
  <si>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</si>
  <si>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</si>
  <si>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</si>
  <si>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</si>
  <si>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</si>
  <si>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</si>
  <si>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</si>
  <si>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</si>
  <si>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</si>
  <si>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</si>
  <si>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</si>
  <si>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</si>
  <si>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</si>
  <si>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</si>
  <si>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</si>
  <si>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</si>
  <si>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</si>
  <si>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</si>
  <si>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</si>
  <si>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</si>
  <si>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</si>
  <si>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</si>
  <si>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</si>
  <si>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</si>
  <si>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</si>
  <si>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</si>
  <si>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</si>
  <si>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</si>
  <si>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</si>
  <si>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</si>
  <si>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</si>
  <si>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</si>
  <si>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</si>
  <si>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</si>
  <si>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</si>
  <si>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</si>
  <si>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</si>
  <si>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</si>
  <si>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</si>
  <si>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</si>
  <si>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</si>
  <si>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</si>
  <si>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</si>
  <si>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</si>
  <si>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</si>
  <si>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</si>
  <si>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</si>
  <si>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</si>
  <si>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</si>
  <si>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</si>
  <si>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</si>
  <si>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</si>
  <si>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</si>
  <si>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</si>
  <si>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</si>
  <si>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</si>
  <si>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</si>
  <si>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</si>
  <si>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</si>
  <si>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</si>
  <si>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</si>
  <si>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</si>
  <si>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</si>
  <si>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</si>
  <si>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</si>
  <si>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</si>
  <si>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</si>
  <si>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</si>
  <si>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</si>
  <si>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</si>
  <si>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</si>
  <si>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</si>
  <si>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</si>
  <si>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</si>
  <si>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</si>
  <si>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</si>
  <si>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</si>
  <si>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</si>
  <si>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</si>
  <si>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</si>
  <si>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</si>
  <si>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</si>
  <si>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</si>
  <si>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</si>
  <si>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</si>
  <si>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</si>
  <si>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</si>
  <si>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</si>
  <si>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</si>
  <si>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</si>
  <si>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</si>
  <si>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</si>
  <si>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</si>
  <si>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</si>
  <si>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</si>
  <si>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</si>
  <si>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</si>
  <si>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</si>
  <si>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</si>
  <si>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</si>
  <si>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</si>
  <si>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</si>
  <si>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</si>
  <si>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</si>
  <si>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</si>
  <si>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</si>
  <si>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</si>
  <si>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</si>
  <si>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</si>
  <si>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</si>
  <si>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</si>
  <si>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</si>
  <si>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</si>
  <si>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</si>
  <si>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</si>
  <si>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</si>
  <si>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</si>
  <si>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</si>
  <si>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</si>
  <si>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</si>
  <si>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</si>
  <si>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</si>
  <si>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</si>
  <si>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</si>
  <si>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</si>
  <si>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</si>
  <si>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</si>
  <si>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</si>
  <si>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</si>
  <si>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</si>
  <si>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</si>
  <si>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</si>
  <si>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</si>
  <si>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</si>
  <si>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</si>
  <si>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</si>
  <si>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</si>
  <si>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</si>
  <si>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</si>
  <si>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</si>
  <si>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</si>
  <si>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</si>
  <si>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</si>
  <si>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</si>
  <si>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</si>
  <si>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</si>
  <si>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</si>
  <si>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</si>
  <si>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</si>
  <si>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</si>
  <si>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</si>
  <si>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</si>
  <si>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</si>
  <si>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</si>
  <si>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</si>
  <si>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</si>
  <si>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</si>
  <si>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</si>
  <si>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</si>
  <si>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</si>
  <si>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</si>
  <si>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</si>
  <si>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</si>
  <si>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</si>
  <si>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</si>
  <si>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</si>
  <si>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</si>
  <si>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</si>
  <si>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</si>
  <si>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</si>
  <si>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</si>
  <si>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</si>
  <si>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</si>
  <si>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</si>
  <si>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</si>
  <si>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</si>
  <si>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</si>
  <si>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</si>
  <si>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</si>
  <si>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</si>
  <si>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</si>
  <si>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</si>
  <si>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</si>
  <si>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</si>
  <si>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</si>
  <si>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</si>
  <si>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</si>
  <si>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</si>
  <si>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</si>
  <si>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</si>
  <si>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</si>
  <si>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</si>
  <si>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</si>
  <si>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</si>
  <si>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</si>
  <si>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</si>
  <si>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</si>
  <si>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</si>
  <si>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</si>
  <si>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</si>
  <si>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</si>
  <si>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</si>
  <si>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</si>
  <si>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</si>
  <si>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</si>
  <si>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</si>
  <si>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</si>
  <si>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</si>
  <si>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</si>
  <si>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</si>
  <si>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</si>
  <si>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</si>
  <si>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</si>
  <si>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</si>
  <si>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</si>
  <si>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</si>
  <si>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</si>
  <si>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</si>
  <si>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</si>
  <si>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</si>
  <si>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</si>
  <si>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</si>
  <si>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</si>
  <si>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</si>
  <si>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</si>
  <si>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</si>
  <si>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</si>
  <si>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</si>
  <si>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</si>
  <si>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</si>
  <si>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</si>
  <si>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</si>
  <si>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</si>
  <si>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</si>
  <si>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</si>
  <si>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</si>
  <si>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</si>
  <si>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</si>
  <si>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</si>
  <si>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</si>
  <si>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</si>
  <si>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</si>
  <si>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</si>
  <si>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</si>
  <si>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</si>
  <si>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</si>
  <si>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</si>
  <si>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</si>
  <si>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</si>
  <si>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</si>
  <si>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</si>
  <si>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</si>
  <si>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</si>
  <si>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</si>
  <si>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</si>
  <si>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</si>
  <si>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</si>
  <si>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</si>
  <si>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</si>
  <si>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</si>
  <si>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</si>
  <si>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</si>
  <si>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</si>
  <si>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</si>
  <si>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</si>
  <si>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</si>
  <si>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</si>
  <si>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</si>
  <si>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</si>
  <si>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</si>
  <si>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</si>
  <si>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</si>
  <si>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</si>
  <si>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</si>
  <si>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</si>
  <si>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</si>
  <si>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</si>
  <si>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</si>
  <si>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</si>
  <si>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</si>
  <si>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</si>
  <si>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</si>
  <si>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</si>
  <si>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</si>
  <si>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</si>
  <si>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</si>
  <si>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</si>
  <si>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</si>
  <si>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</si>
  <si>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</si>
  <si>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</si>
  <si>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</si>
  <si>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</si>
  <si>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</si>
  <si>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</si>
  <si>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</si>
  <si>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</si>
  <si>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</si>
  <si>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</si>
  <si>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</si>
  <si>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</si>
  <si>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</si>
  <si>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</si>
  <si>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</si>
  <si>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</si>
  <si>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</si>
  <si>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</si>
  <si>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</si>
  <si>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</si>
  <si>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</si>
  <si>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</si>
  <si>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</si>
  <si>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</si>
  <si>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</si>
  <si>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</si>
  <si>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</si>
  <si>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</si>
  <si>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</si>
  <si>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</si>
  <si>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</si>
  <si>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</si>
  <si>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</si>
  <si>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</si>
  <si>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</si>
  <si>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</si>
  <si>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</si>
  <si>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</si>
  <si>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</si>
  <si>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</si>
  <si>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</si>
  <si>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</si>
  <si>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</si>
  <si>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</si>
  <si>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</si>
  <si>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</si>
  <si>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</si>
  <si>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</si>
  <si>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</si>
  <si>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</si>
  <si>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</si>
  <si>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</si>
  <si>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</si>
  <si>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</si>
  <si>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</si>
  <si>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</si>
  <si>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</si>
  <si>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</si>
  <si>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</si>
  <si>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</si>
  <si>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</si>
  <si>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</si>
  <si>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</si>
  <si>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</si>
  <si>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</si>
  <si>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</si>
  <si>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</si>
  <si>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</si>
  <si>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</si>
  <si>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</si>
  <si>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</si>
  <si>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</si>
  <si>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</si>
  <si>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</si>
  <si>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</si>
  <si>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</si>
  <si>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</si>
  <si>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</si>
  <si>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</si>
  <si>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</si>
  <si>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</si>
  <si>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</si>
  <si>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</si>
  <si>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</si>
  <si>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</si>
  <si>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</si>
  <si>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</si>
  <si>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</si>
  <si>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</si>
  <si>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</si>
  <si>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</si>
  <si>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</si>
  <si>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</si>
  <si>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</si>
  <si>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</si>
  <si>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</si>
  <si>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</si>
  <si>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</si>
  <si>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</si>
  <si>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</si>
  <si>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</si>
  <si>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</si>
  <si>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</si>
  <si>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</si>
  <si>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</si>
  <si>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</si>
  <si>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</si>
  <si>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</si>
  <si>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</si>
  <si>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</si>
  <si>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</si>
  <si>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</si>
  <si>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</si>
  <si>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</si>
  <si>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</si>
  <si>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</si>
  <si>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</si>
  <si>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</si>
  <si>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</si>
  <si>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</si>
  <si>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</si>
  <si>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</si>
  <si>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</si>
  <si>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</si>
  <si>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</si>
  <si>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</si>
  <si>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</si>
  <si>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</si>
  <si>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</si>
  <si>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</si>
  <si>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</si>
  <si>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</si>
  <si>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</si>
  <si>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</si>
  <si>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</si>
  <si>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</si>
  <si>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</si>
  <si>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</si>
  <si>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</si>
  <si>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</si>
  <si>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</si>
  <si>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</si>
  <si>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</si>
  <si>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</si>
  <si>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</si>
  <si>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</si>
  <si>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</si>
  <si>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</si>
  <si>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</si>
  <si>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</si>
  <si>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</si>
  <si>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</si>
  <si>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</si>
  <si>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</si>
  <si>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</si>
  <si>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</si>
  <si>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</si>
  <si>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</si>
  <si>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</si>
  <si>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</si>
  <si>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</si>
  <si>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</si>
  <si>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</si>
  <si>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</si>
  <si>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</si>
  <si>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</si>
  <si>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</si>
  <si>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</si>
  <si>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</si>
  <si>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</si>
  <si>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</si>
  <si>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</si>
  <si>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</si>
  <si>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</si>
  <si>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</si>
  <si>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</si>
  <si>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</si>
  <si>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</si>
  <si>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</si>
  <si>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</si>
  <si>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</si>
  <si>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</si>
  <si>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</si>
  <si>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</si>
  <si>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</si>
  <si>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</si>
  <si>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</si>
  <si>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</si>
  <si>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</si>
  <si>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</si>
  <si>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</si>
  <si>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</si>
  <si>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</si>
  <si>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</si>
  <si>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</si>
  <si>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</si>
  <si>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</si>
  <si>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</si>
  <si>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</si>
  <si>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</si>
  <si>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</si>
  <si>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</si>
  <si>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</si>
  <si>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</si>
  <si>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</si>
  <si>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</si>
  <si>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</si>
  <si>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</si>
  <si>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</si>
  <si>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</si>
  <si>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</si>
  <si>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</si>
  <si>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</si>
  <si>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</si>
  <si>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</si>
  <si>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</si>
  <si>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</si>
  <si>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</si>
  <si>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</si>
  <si>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</si>
  <si>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</si>
  <si>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</si>
  <si>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</si>
  <si>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</si>
  <si>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</si>
  <si>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</si>
  <si>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</si>
  <si>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</si>
  <si>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</si>
  <si>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</si>
  <si>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</si>
  <si>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</si>
  <si>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</si>
  <si>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</si>
  <si>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</si>
  <si>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</si>
  <si>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</si>
  <si>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</si>
  <si>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</si>
  <si>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</si>
  <si>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</si>
  <si>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</si>
  <si>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</si>
  <si>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</si>
  <si>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</si>
  <si>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</si>
  <si>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</si>
  <si>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</si>
  <si>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</si>
  <si>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</si>
  <si>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</si>
  <si>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</si>
  <si>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</si>
  <si>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</si>
  <si>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</si>
  <si>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</si>
  <si>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</si>
  <si>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</si>
  <si>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</si>
  <si>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</si>
  <si>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</si>
  <si>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</si>
  <si>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</si>
  <si>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</si>
  <si>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</si>
  <si>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</si>
  <si>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</si>
  <si>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</si>
  <si>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</si>
  <si>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</si>
  <si>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</si>
  <si>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</si>
  <si>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</si>
  <si>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</si>
  <si>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</si>
  <si>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</si>
  <si>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</si>
  <si>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</si>
  <si>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</si>
  <si>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</si>
  <si>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</si>
  <si>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</si>
  <si>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</si>
  <si>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</si>
  <si>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</si>
  <si>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</si>
  <si>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</si>
  <si>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</si>
  <si>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</si>
  <si>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</si>
  <si>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</si>
  <si>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</si>
  <si>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</si>
  <si>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</si>
  <si>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</si>
  <si>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</si>
  <si>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</si>
  <si>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</si>
  <si>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</si>
  <si>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</si>
  <si>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</si>
  <si>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</si>
  <si>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</si>
  <si>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</si>
  <si>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</si>
  <si>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</si>
  <si>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</si>
  <si>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</si>
  <si>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</si>
  <si>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</si>
  <si>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</si>
  <si>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</si>
  <si>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</si>
  <si>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</si>
  <si>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</si>
  <si>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</si>
  <si>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</si>
  <si>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</si>
  <si>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</si>
  <si>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</si>
  <si>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</si>
  <si>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</si>
  <si>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</si>
  <si>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</si>
  <si>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</si>
  <si>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</si>
  <si>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</si>
  <si>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</si>
  <si>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</si>
  <si>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</si>
  <si>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</si>
  <si>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</si>
  <si>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</si>
  <si>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</si>
  <si>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</si>
  <si>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</si>
  <si>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</si>
  <si>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</si>
  <si>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</si>
  <si>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</si>
  <si>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</si>
  <si>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</si>
  <si>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</si>
  <si>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</si>
  <si>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</si>
  <si>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</si>
  <si>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</si>
  <si>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</si>
  <si>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</si>
  <si>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</si>
  <si>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</si>
  <si>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</si>
  <si>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</si>
  <si>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</si>
  <si>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</si>
  <si>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</si>
  <si>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</si>
  <si>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</si>
  <si>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</si>
  <si>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</si>
  <si>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</si>
  <si>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</si>
  <si>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</si>
  <si>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</si>
  <si>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</si>
  <si>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</si>
  <si>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</si>
  <si>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</si>
  <si>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</si>
  <si>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</si>
  <si>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</si>
  <si>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</si>
  <si>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</si>
  <si>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</si>
  <si>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</si>
  <si>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</si>
  <si>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</si>
  <si>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</si>
  <si>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</si>
  <si>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</si>
  <si>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</si>
  <si>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</si>
  <si>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</si>
  <si>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</si>
  <si>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</si>
  <si>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</si>
  <si>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</si>
  <si>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</si>
  <si>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</si>
  <si>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</si>
  <si>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</si>
  <si>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</si>
  <si>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</si>
  <si>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</si>
  <si>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</si>
  <si>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</si>
  <si>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</si>
  <si>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</si>
  <si>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</si>
  <si>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</si>
  <si>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</si>
  <si>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</si>
  <si>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</si>
  <si>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</si>
  <si>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</si>
  <si>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</si>
  <si>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</si>
  <si>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</si>
  <si>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</si>
  <si>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</si>
  <si>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</si>
  <si>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</si>
  <si>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</si>
  <si>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</si>
  <si>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</si>
  <si>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</si>
  <si>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</si>
  <si>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</si>
  <si>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</si>
  <si>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</si>
  <si>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</si>
  <si>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</si>
  <si>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</si>
  <si>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</si>
  <si>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</si>
  <si>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</si>
  <si>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</si>
  <si>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</si>
  <si>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</si>
  <si>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</si>
  <si>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</si>
  <si>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</si>
  <si>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</si>
  <si>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</si>
  <si>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</si>
  <si>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</si>
  <si>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</si>
  <si>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</si>
  <si>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</si>
  <si>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</si>
  <si>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</si>
  <si>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</si>
  <si>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</si>
  <si>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</si>
  <si>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</si>
  <si>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</si>
  <si>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</si>
  <si>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</si>
  <si>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</si>
  <si>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</si>
  <si>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</si>
  <si>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</si>
  <si>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</si>
  <si>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</si>
  <si>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</si>
  <si>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</si>
  <si>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</si>
  <si>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</si>
  <si>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</si>
  <si>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</si>
  <si>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</si>
  <si>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</si>
  <si>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</si>
  <si>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</si>
  <si>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</si>
  <si>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</si>
  <si>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</si>
  <si>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</si>
  <si>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</si>
  <si>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</si>
  <si>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</si>
  <si>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</si>
  <si>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</si>
  <si>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</si>
  <si>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</si>
  <si>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</si>
  <si>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</si>
  <si>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</si>
  <si>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</si>
  <si>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</si>
  <si>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</si>
  <si>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</si>
  <si>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</si>
  <si>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</si>
  <si>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</si>
  <si>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</si>
  <si>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</si>
  <si>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</si>
  <si>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</si>
  <si>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</si>
  <si>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</si>
  <si>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</si>
  <si>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</si>
  <si>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</si>
  <si>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</si>
  <si>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</si>
  <si>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</si>
  <si>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</si>
  <si>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</si>
  <si>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</si>
  <si>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</si>
  <si>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</si>
  <si>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</si>
  <si>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</si>
  <si>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</si>
  <si>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</si>
  <si>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</si>
  <si>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</si>
  <si>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</si>
  <si>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</si>
  <si>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</si>
  <si>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</si>
  <si>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</si>
  <si>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</si>
  <si>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</si>
  <si>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</si>
  <si>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</si>
  <si>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</si>
  <si>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</si>
  <si>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</si>
  <si>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</si>
  <si>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</si>
  <si>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</si>
  <si>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</si>
  <si>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</si>
  <si>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</si>
  <si>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</si>
  <si>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</si>
  <si>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</si>
  <si>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</si>
  <si>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</si>
  <si>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</si>
  <si>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</si>
  <si>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</si>
  <si>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</si>
  <si>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</si>
  <si>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</si>
  <si>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</si>
  <si>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</si>
  <si>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</si>
  <si>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</si>
  <si>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</si>
  <si>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</si>
  <si>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</si>
  <si>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</si>
  <si>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</si>
  <si>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</si>
  <si>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</si>
  <si>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</si>
  <si>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</si>
  <si>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</si>
  <si>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</si>
  <si>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</si>
  <si>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</si>
  <si>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</si>
  <si>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</si>
  <si>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</si>
  <si>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</si>
  <si>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</si>
  <si>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</si>
  <si>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</si>
  <si>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</si>
  <si>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</si>
  <si>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</si>
  <si>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</si>
  <si>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</si>
  <si>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</si>
  <si>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</si>
  <si>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</si>
  <si>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</si>
  <si>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</si>
  <si>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</si>
  <si>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</si>
  <si>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</si>
  <si>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</si>
  <si>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</si>
  <si>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</si>
  <si>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</si>
  <si>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</si>
  <si>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</si>
  <si>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</si>
  <si>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</si>
  <si>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</si>
  <si>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</si>
  <si>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</si>
  <si>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</si>
  <si>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</si>
  <si>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</si>
  <si>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</si>
  <si>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</si>
  <si>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</si>
  <si>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</si>
  <si>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</si>
  <si>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</si>
  <si>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</si>
  <si>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</si>
  <si>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</si>
  <si>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</si>
  <si>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</si>
  <si>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</si>
  <si>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</si>
  <si>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</si>
  <si>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</si>
  <si>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</si>
  <si>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</si>
  <si>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</si>
  <si>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</si>
  <si>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</si>
  <si>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</si>
  <si>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</si>
  <si>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</si>
  <si>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</si>
  <si>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</si>
  <si>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</si>
  <si>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</si>
  <si>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</si>
  <si>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</si>
  <si>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</si>
  <si>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</si>
  <si>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</si>
  <si>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</si>
  <si>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</si>
  <si>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</si>
  <si>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</si>
  <si>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</si>
  <si>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</si>
  <si>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</si>
  <si>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</si>
  <si>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</si>
  <si>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</si>
  <si>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</si>
  <si>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</si>
  <si>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</si>
  <si>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</si>
  <si>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</si>
  <si>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</si>
  <si>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</si>
  <si>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</si>
  <si>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</si>
  <si>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</si>
  <si>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</si>
  <si>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</si>
  <si>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</si>
  <si>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</si>
  <si>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</si>
  <si>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</si>
  <si>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</si>
  <si>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</si>
  <si>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</si>
  <si>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</si>
  <si>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</si>
  <si>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</si>
  <si>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</si>
  <si>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</si>
  <si>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</si>
  <si>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</si>
  <si>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</si>
  <si>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</si>
  <si>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</si>
  <si>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</si>
  <si>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</si>
  <si>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</si>
  <si>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</si>
  <si>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</si>
  <si>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</si>
  <si>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</si>
  <si>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</si>
  <si>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</si>
  <si>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</si>
  <si>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</si>
  <si>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</si>
  <si>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</si>
  <si>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</si>
  <si>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</si>
  <si>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</si>
  <si>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</si>
  <si>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</si>
  <si>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</si>
  <si>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</si>
  <si>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</si>
  <si>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</si>
  <si>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</si>
  <si>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</si>
  <si>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</si>
  <si>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</si>
  <si>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</si>
  <si>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</si>
  <si>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</si>
  <si>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</si>
  <si>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</si>
  <si>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</si>
  <si>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</si>
  <si>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</si>
  <si>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</si>
  <si>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</si>
  <si>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</si>
  <si>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</si>
  <si>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</si>
  <si>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</si>
  <si>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</si>
  <si>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</si>
  <si>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</si>
  <si>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</si>
  <si>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</si>
  <si>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</si>
  <si>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</si>
  <si>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</si>
  <si>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</si>
  <si>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</si>
  <si>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</si>
  <si>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</si>
  <si>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</si>
  <si>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</si>
  <si>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</si>
  <si>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</si>
  <si>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</si>
  <si>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</si>
  <si>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</si>
  <si>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</si>
  <si>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</si>
  <si>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</si>
  <si>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</si>
  <si>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</si>
  <si>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</si>
  <si>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</si>
  <si>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</si>
  <si>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</si>
  <si>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</si>
  <si>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</si>
  <si>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</si>
  <si>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</si>
  <si>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</si>
  <si>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</si>
  <si>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</si>
  <si>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</si>
  <si>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</si>
  <si>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</si>
  <si>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</si>
  <si>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</si>
  <si>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</si>
  <si>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</si>
  <si>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</si>
  <si>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</si>
  <si>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</si>
  <si>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</si>
  <si>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</si>
  <si>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</si>
  <si>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</si>
  <si>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</si>
  <si>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</si>
  <si>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</si>
  <si>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</si>
  <si>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</si>
  <si>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</si>
  <si>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</si>
  <si>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</si>
  <si>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</si>
  <si>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</si>
  <si>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</si>
  <si>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</si>
  <si>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</si>
  <si>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</si>
  <si>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</si>
  <si>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</si>
  <si>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</si>
  <si>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</si>
  <si>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</si>
  <si>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</si>
  <si>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</si>
  <si>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</si>
  <si>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</si>
  <si>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</si>
  <si>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</si>
  <si>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</si>
  <si>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</si>
  <si>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</si>
  <si>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</si>
  <si>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</si>
  <si>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</si>
  <si>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</si>
  <si>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</si>
  <si>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</si>
  <si>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</si>
  <si>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</si>
  <si>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</si>
  <si>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</si>
  <si>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</si>
  <si>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</si>
  <si>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</si>
  <si>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</si>
  <si>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</si>
  <si>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</si>
  <si>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</si>
  <si>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</si>
  <si>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</si>
  <si>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</si>
  <si>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</si>
  <si>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</si>
  <si>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</si>
  <si>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</si>
  <si>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</si>
  <si>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</si>
  <si>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</si>
  <si>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</si>
  <si>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</si>
  <si>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</si>
  <si>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</si>
  <si>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</si>
  <si>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</si>
  <si>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</si>
  <si>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</si>
  <si>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</si>
  <si>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</si>
  <si>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</si>
  <si>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</si>
  <si>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</si>
  <si>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</si>
  <si>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</si>
  <si>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</si>
  <si>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</si>
  <si>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</si>
  <si>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</si>
  <si>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</si>
  <si>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</si>
  <si>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</si>
  <si>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</si>
  <si>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</si>
  <si>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</si>
  <si>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</si>
  <si>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</si>
  <si>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</si>
  <si>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</si>
  <si>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</si>
  <si>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</si>
  <si>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</si>
  <si>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</si>
  <si>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</si>
  <si>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</si>
  <si>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</si>
  <si>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</si>
  <si>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</si>
  <si>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</si>
  <si>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</si>
  <si>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</si>
  <si>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</si>
  <si>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</si>
  <si>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</si>
  <si>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</si>
  <si>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</si>
  <si>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</si>
  <si>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</si>
  <si>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</si>
  <si>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</si>
  <si>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</si>
  <si>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</si>
  <si>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</si>
  <si>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</si>
  <si>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</si>
  <si>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</si>
  <si>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</si>
  <si>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</si>
  <si>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</si>
  <si>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</si>
  <si>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</si>
  <si>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</si>
  <si>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</si>
  <si>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</si>
  <si>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</si>
  <si>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</si>
  <si>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</si>
  <si>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</si>
  <si>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</si>
  <si>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</si>
  <si>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</si>
  <si>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</si>
  <si>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</si>
  <si>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</si>
  <si>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</si>
  <si>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</si>
  <si>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</si>
  <si>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</si>
  <si>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</si>
  <si>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</si>
  <si>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</si>
  <si>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</si>
  <si>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</si>
  <si>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</si>
  <si>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</si>
  <si>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</si>
  <si>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</si>
  <si>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</si>
  <si>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</si>
  <si>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</si>
  <si>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</si>
  <si>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</si>
  <si>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</si>
  <si>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</si>
  <si>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</si>
  <si>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</si>
  <si>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</si>
  <si>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</si>
  <si>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</si>
  <si>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</si>
  <si>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</si>
  <si>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</si>
  <si>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</si>
  <si>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</si>
  <si>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</si>
  <si>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</si>
  <si>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</si>
  <si>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</si>
  <si>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</si>
  <si>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</si>
  <si>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</si>
  <si>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</si>
  <si>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</si>
  <si>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</si>
  <si>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</si>
  <si>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</si>
  <si>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</si>
  <si>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</si>
  <si>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</si>
  <si>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</si>
  <si>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</si>
  <si>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</si>
  <si>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</si>
  <si>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</si>
  <si>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</si>
  <si>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</si>
  <si>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</si>
  <si>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</si>
  <si>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</si>
  <si>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</si>
  <si>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</si>
  <si>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</si>
  <si>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</si>
  <si>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</si>
  <si>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</si>
  <si>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</si>
  <si>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</si>
  <si>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</si>
  <si>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</si>
  <si>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</si>
  <si>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</si>
  <si>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</si>
  <si>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</si>
  <si>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</si>
  <si>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</si>
  <si>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</si>
  <si>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</si>
  <si>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</si>
  <si>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</si>
  <si>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</si>
  <si>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</si>
  <si>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</si>
  <si>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</si>
  <si>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</si>
  <si>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</si>
  <si>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</si>
  <si>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</si>
  <si>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</si>
  <si>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</si>
  <si>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</si>
  <si>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</si>
  <si>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</si>
  <si>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</si>
  <si>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</si>
  <si>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</si>
  <si>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</si>
  <si>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</si>
  <si>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</si>
  <si>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</si>
  <si>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</si>
  <si>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</si>
  <si>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</si>
  <si>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</si>
  <si>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</si>
  <si>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</si>
  <si>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</si>
  <si>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</si>
  <si>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</si>
  <si>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</si>
  <si>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</si>
  <si>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</si>
  <si>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</si>
  <si>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</si>
  <si>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</si>
  <si>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</si>
  <si>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</si>
  <si>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</si>
  <si>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</si>
  <si>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</si>
  <si>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</si>
  <si>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</si>
  <si>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</si>
  <si>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</si>
  <si>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</si>
  <si>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</si>
  <si>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</si>
  <si>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</si>
  <si>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</si>
  <si>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</si>
  <si>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</si>
  <si>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</si>
  <si>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</si>
  <si>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</si>
  <si>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</si>
  <si>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</si>
  <si>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</si>
  <si>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</si>
  <si>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</si>
  <si>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</si>
  <si>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</si>
  <si>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</si>
  <si>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</si>
  <si>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</si>
  <si>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</si>
  <si>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</si>
  <si>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</si>
  <si>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</si>
  <si>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</si>
  <si>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</si>
  <si>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</si>
  <si>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</si>
  <si>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</si>
  <si>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</si>
  <si>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</si>
  <si>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</si>
  <si>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</si>
  <si>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</si>
  <si>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</si>
  <si>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</si>
  <si>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</si>
  <si>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</si>
  <si>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</si>
  <si>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</si>
  <si>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</si>
  <si>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</si>
  <si>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</si>
  <si>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</si>
  <si>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</si>
  <si>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</si>
  <si>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</si>
  <si>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</si>
  <si>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</si>
  <si>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</si>
  <si>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</si>
  <si>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</si>
  <si>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</si>
  <si>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</si>
  <si>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</si>
  <si>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</si>
  <si>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</si>
  <si>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</si>
  <si>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</si>
  <si>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</si>
  <si>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</si>
  <si>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</si>
  <si>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</si>
  <si>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</si>
  <si>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</si>
  <si>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</si>
  <si>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</si>
  <si>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</si>
  <si>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</si>
  <si>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</si>
  <si>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</si>
  <si>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</si>
  <si>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</si>
  <si>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</si>
  <si>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</si>
  <si>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</si>
  <si>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</si>
  <si>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</si>
  <si>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</si>
  <si>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</si>
  <si>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</si>
  <si>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</si>
  <si>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</si>
  <si>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</si>
  <si>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</si>
  <si>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</si>
  <si>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</si>
  <si>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</si>
  <si>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</si>
  <si>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</si>
  <si>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</si>
  <si>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</si>
  <si>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</si>
  <si>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</si>
  <si>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</si>
  <si>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</si>
  <si>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</si>
  <si>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</si>
  <si>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</si>
  <si>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</si>
  <si>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</si>
  <si>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</si>
  <si>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</si>
  <si>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</si>
  <si>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</si>
  <si>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</si>
  <si>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</si>
  <si>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</si>
  <si>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</si>
  <si>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</si>
  <si>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</si>
  <si>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</si>
  <si>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</si>
  <si>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</si>
  <si>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</si>
  <si>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</si>
  <si>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</si>
  <si>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</si>
  <si>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</si>
  <si>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</si>
  <si>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</si>
  <si>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</si>
  <si>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</si>
  <si>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</si>
  <si>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</si>
  <si>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</si>
  <si>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</si>
  <si>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</si>
  <si>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</si>
  <si>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</si>
  <si>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</si>
  <si>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</si>
  <si>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</si>
  <si>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</si>
  <si>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</si>
  <si>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</si>
  <si>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</si>
  <si>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</si>
  <si>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</si>
  <si>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</si>
  <si>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</si>
  <si>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</si>
  <si>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</si>
  <si>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</si>
  <si>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</si>
  <si>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</si>
  <si>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</si>
  <si>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</si>
  <si>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</si>
  <si>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</si>
  <si>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</si>
  <si>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</si>
  <si>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</si>
  <si>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</si>
  <si>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</si>
  <si>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</si>
  <si>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</si>
  <si>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</si>
  <si>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</si>
  <si>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</si>
  <si>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</si>
  <si>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</si>
  <si>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</si>
  <si>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</si>
  <si>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</si>
  <si>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</si>
  <si>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</si>
  <si>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</si>
  <si>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</si>
  <si>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</si>
  <si>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</si>
  <si>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</si>
  <si>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</si>
  <si>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</si>
  <si>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</si>
  <si>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</si>
  <si>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</si>
  <si>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</si>
  <si>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</si>
  <si>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</si>
  <si>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</si>
  <si>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</si>
  <si>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</si>
  <si>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</si>
  <si>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</si>
  <si>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</si>
  <si>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</si>
  <si>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</si>
  <si>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</si>
  <si>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</si>
  <si>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</si>
  <si>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</si>
  <si>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</si>
  <si>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</si>
  <si>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</si>
  <si>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</si>
  <si>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</si>
  <si>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</si>
  <si>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</si>
  <si>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</si>
  <si>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</si>
  <si>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</si>
  <si>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</si>
  <si>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</si>
  <si>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</si>
  <si>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</si>
  <si>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</si>
  <si>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</si>
  <si>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</si>
  <si>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</si>
  <si>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</si>
  <si>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</si>
  <si>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</si>
  <si>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</si>
  <si>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</si>
  <si>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</si>
  <si>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</si>
  <si>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</si>
  <si>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</si>
  <si>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</si>
  <si>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</si>
  <si>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</si>
  <si>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</si>
  <si>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</si>
  <si>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</si>
  <si>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</si>
  <si>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</si>
  <si>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</si>
  <si>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</si>
  <si>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</si>
  <si>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</si>
  <si>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</si>
  <si>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</si>
  <si>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</si>
  <si>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</si>
  <si>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</si>
  <si>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</si>
  <si>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</si>
  <si>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</si>
  <si>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</si>
  <si>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</si>
  <si>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</si>
  <si>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</si>
  <si>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</si>
  <si>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</si>
  <si>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</si>
  <si>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</si>
  <si>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</si>
  <si>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</si>
  <si>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</si>
  <si>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</si>
  <si>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</si>
  <si>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</si>
  <si>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</si>
  <si>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</si>
  <si>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</si>
  <si>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</si>
  <si>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</si>
  <si>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</si>
  <si>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</si>
  <si>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</si>
  <si>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</si>
  <si>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</si>
  <si>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</si>
  <si>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</si>
  <si>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</si>
  <si>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</si>
  <si>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</si>
  <si>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</si>
  <si>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</si>
  <si>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</si>
  <si>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</si>
  <si>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</si>
  <si>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</si>
  <si>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</si>
  <si>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</si>
  <si>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</si>
  <si>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</si>
  <si>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</si>
  <si>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</si>
  <si>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</si>
  <si>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</si>
  <si>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</si>
  <si>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</si>
  <si>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</si>
  <si>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</si>
  <si>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</si>
  <si>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</si>
  <si>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</si>
  <si>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</si>
  <si>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</si>
  <si>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</si>
  <si>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</si>
  <si>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</si>
  <si>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</si>
  <si>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</si>
  <si>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</si>
  <si>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</si>
  <si>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</si>
  <si>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</si>
  <si>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</si>
  <si>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</si>
  <si>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</si>
  <si>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</si>
  <si>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</si>
  <si>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</si>
  <si>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</si>
  <si>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</si>
  <si>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</si>
  <si>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</si>
  <si>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</si>
  <si>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</si>
  <si>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</si>
  <si>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</si>
  <si>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</si>
  <si>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</si>
  <si>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</si>
  <si>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</si>
  <si>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</si>
  <si>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</si>
  <si>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</si>
  <si>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</si>
  <si>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</si>
  <si>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</si>
  <si>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</si>
  <si>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</si>
  <si>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</si>
  <si>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</si>
  <si>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</si>
  <si>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</si>
  <si>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</si>
  <si>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</si>
  <si>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</si>
  <si>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</si>
  <si>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</si>
  <si>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</si>
  <si>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</si>
  <si>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</si>
  <si>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</si>
  <si>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</si>
  <si>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</si>
  <si>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</si>
  <si>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</si>
  <si>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</si>
  <si>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</si>
  <si>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</si>
  <si>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</si>
  <si>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</si>
  <si>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</si>
  <si>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</si>
  <si>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</si>
  <si>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</si>
  <si>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</si>
  <si>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</si>
  <si>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</si>
  <si>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</si>
  <si>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</si>
  <si>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</si>
  <si>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</si>
  <si>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</si>
  <si>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</si>
  <si>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</si>
  <si>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</si>
  <si>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</si>
  <si>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</si>
  <si>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</si>
  <si>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</si>
  <si>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</si>
  <si>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</si>
  <si>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</si>
  <si>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</si>
  <si>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</si>
  <si>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</si>
  <si>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</si>
  <si>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</si>
  <si>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</si>
  <si>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</si>
  <si>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</si>
  <si>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</si>
  <si>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</si>
  <si>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</si>
  <si>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</si>
  <si>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</si>
  <si>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</si>
  <si>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</si>
  <si>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</si>
  <si>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</si>
  <si>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</si>
  <si>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</si>
  <si>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</si>
  <si>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</si>
  <si>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</si>
  <si>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</si>
  <si>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</si>
  <si>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</si>
  <si>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</si>
  <si>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</si>
  <si>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</si>
  <si>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</si>
  <si>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</si>
  <si>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</si>
  <si>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</si>
  <si>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</si>
  <si>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</si>
  <si>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</si>
  <si>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</si>
  <si>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</si>
  <si>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</si>
  <si>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</si>
  <si>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</si>
  <si>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</si>
  <si>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</si>
  <si>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</si>
  <si>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</si>
  <si>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</si>
  <si>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</si>
  <si>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</si>
  <si>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</si>
  <si>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</si>
  <si>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</si>
  <si>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</si>
  <si>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</si>
  <si>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</si>
  <si>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</si>
  <si>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</si>
  <si>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</si>
  <si>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</si>
  <si>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</si>
  <si>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</si>
  <si>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</si>
  <si>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</si>
  <si>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</si>
  <si>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</si>
  <si>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</si>
  <si>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</si>
  <si>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</si>
  <si>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</si>
  <si>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</si>
  <si>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</si>
  <si>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</si>
  <si>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</si>
  <si>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</si>
  <si>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</si>
  <si>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</si>
  <si>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</si>
  <si>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</si>
  <si>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</si>
  <si>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</si>
  <si>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</si>
  <si>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</si>
  <si>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</si>
  <si>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</si>
  <si>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</si>
  <si>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</si>
  <si>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</si>
  <si>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</si>
  <si>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</si>
  <si>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</si>
  <si>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</si>
  <si>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</si>
  <si>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</si>
  <si>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</si>
  <si>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</si>
  <si>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</si>
  <si>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</si>
  <si>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</si>
  <si>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</si>
  <si>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</si>
  <si>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</si>
  <si>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</si>
  <si>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</si>
  <si>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</si>
  <si>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</si>
  <si>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</si>
  <si>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</si>
  <si>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</si>
  <si>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</si>
  <si>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</si>
  <si>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</si>
  <si>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</si>
  <si>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</si>
  <si>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</si>
  <si>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</si>
  <si>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</si>
  <si>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</si>
  <si>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</si>
  <si>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</si>
  <si>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</si>
  <si>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</si>
  <si>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</si>
  <si>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</si>
  <si>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</si>
  <si>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</si>
  <si>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</si>
  <si>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</si>
  <si>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</si>
  <si>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</si>
  <si>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</si>
  <si>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</si>
  <si>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</si>
  <si>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</si>
  <si>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</si>
  <si>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</si>
  <si>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</si>
  <si>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</si>
  <si>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</si>
  <si>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</si>
  <si>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</si>
  <si>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</si>
  <si>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</si>
  <si>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</si>
  <si>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</si>
  <si>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</si>
  <si>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</si>
  <si>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</si>
  <si>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</si>
  <si>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</si>
  <si>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</si>
  <si>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</si>
  <si>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</si>
  <si>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</si>
  <si>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</si>
  <si>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</si>
  <si>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</si>
  <si>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</si>
  <si>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</si>
  <si>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</si>
  <si>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</si>
  <si>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</si>
  <si>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</si>
  <si>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</si>
  <si>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</si>
  <si>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</si>
  <si>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</si>
  <si>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</si>
  <si>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</si>
  <si>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</si>
  <si>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</si>
  <si>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</si>
  <si>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</si>
  <si>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</si>
  <si>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</si>
  <si>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</si>
  <si>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</si>
  <si>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</si>
  <si>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</si>
  <si>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</si>
  <si>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</si>
  <si>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</si>
  <si>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</si>
  <si>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</si>
  <si>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</si>
  <si>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</si>
  <si>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</si>
  <si>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</si>
  <si>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</si>
  <si>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</si>
  <si>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</si>
  <si>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</si>
  <si>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</si>
  <si>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</si>
  <si>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</si>
  <si>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</si>
  <si>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</si>
  <si>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</si>
  <si>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</si>
  <si>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</si>
  <si>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</si>
  <si>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</si>
  <si>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</si>
  <si>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</si>
  <si>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</si>
  <si>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</si>
  <si>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</si>
  <si>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</si>
  <si>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</si>
  <si>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</si>
  <si>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</si>
  <si>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</si>
  <si>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</si>
  <si>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</si>
  <si>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</si>
  <si>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</si>
  <si>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</si>
  <si>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</si>
  <si>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</si>
  <si>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</si>
  <si>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</si>
  <si>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</si>
  <si>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</si>
  <si>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</si>
  <si>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</si>
  <si>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</si>
  <si>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</si>
  <si>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</si>
  <si>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</si>
  <si>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</si>
  <si>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</si>
  <si>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</si>
  <si>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</si>
  <si>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</si>
  <si>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</si>
  <si>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</si>
  <si>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</si>
  <si>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</si>
  <si>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</si>
  <si>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</si>
  <si>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</si>
  <si>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</si>
  <si>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</si>
  <si>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</si>
  <si>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</si>
  <si>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</si>
  <si>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</si>
  <si>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</si>
  <si>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</si>
  <si>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</si>
  <si>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</si>
  <si>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</si>
  <si>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</si>
  <si>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</si>
  <si>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</si>
  <si>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</si>
  <si>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</si>
  <si>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</si>
  <si>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</si>
  <si>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</si>
  <si>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</si>
  <si>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</si>
  <si>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</si>
  <si>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</si>
  <si>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</si>
  <si>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</si>
  <si>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</si>
  <si>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</si>
  <si>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</si>
  <si>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</si>
  <si>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</si>
  <si>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</si>
  <si>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</si>
  <si>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</si>
  <si>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</si>
  <si>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</si>
  <si>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</si>
  <si>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</si>
  <si>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</si>
  <si>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</si>
  <si>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</si>
  <si>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</si>
  <si>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</si>
  <si>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</si>
  <si>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</si>
  <si>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</si>
  <si>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</si>
  <si>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</si>
  <si>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</si>
  <si>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</si>
  <si>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</si>
  <si>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</si>
  <si>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</si>
  <si>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</si>
  <si>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</si>
  <si>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</si>
  <si>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</si>
  <si>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</si>
  <si>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</si>
  <si>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</si>
  <si>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</si>
  <si>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</si>
  <si>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</si>
  <si>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</si>
  <si>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</si>
  <si>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</si>
  <si>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</si>
  <si>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</si>
  <si>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</si>
  <si>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</si>
  <si>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</si>
  <si>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</si>
  <si>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</si>
  <si>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</si>
  <si>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</si>
  <si>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</si>
  <si>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</si>
  <si>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</si>
  <si>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</si>
  <si>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</si>
  <si>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</si>
  <si>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</si>
  <si>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</si>
  <si>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</si>
  <si>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</si>
  <si>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</si>
  <si>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</si>
  <si>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</si>
  <si>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</si>
  <si>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</si>
  <si>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</si>
  <si>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</si>
  <si>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</si>
  <si>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</si>
  <si>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</si>
  <si>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</si>
  <si>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</si>
  <si>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</si>
  <si>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</si>
  <si>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</si>
  <si>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</si>
  <si>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</si>
  <si>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</si>
  <si>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</si>
  <si>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</si>
  <si>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</si>
  <si>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</si>
  <si>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</si>
  <si>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</si>
  <si>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</si>
  <si>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</si>
  <si>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</si>
  <si>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</si>
  <si>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</si>
  <si>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</si>
  <si>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</si>
  <si>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</si>
  <si>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</si>
  <si>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</si>
  <si>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</si>
  <si>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</si>
  <si>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</si>
  <si>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</si>
  <si>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</si>
  <si>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</si>
  <si>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</si>
  <si>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</si>
  <si>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</si>
  <si>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</si>
  <si>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</si>
  <si>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</si>
  <si>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</si>
  <si>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</si>
  <si>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</si>
  <si>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</si>
  <si>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</si>
  <si>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</si>
  <si>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</si>
  <si>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</si>
  <si>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</si>
  <si>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</si>
  <si>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</si>
  <si>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</si>
  <si>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</si>
  <si>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</si>
  <si>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</si>
  <si>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</si>
  <si>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</si>
  <si>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</si>
  <si>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</si>
  <si>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</si>
  <si>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</si>
  <si>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</si>
  <si>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</si>
  <si>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</si>
  <si>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</si>
  <si>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</si>
  <si>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</si>
  <si>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</si>
  <si>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</si>
  <si>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</si>
  <si>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</si>
  <si>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</si>
  <si>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</si>
  <si>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</si>
  <si>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</si>
  <si>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</si>
  <si>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</si>
  <si>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</si>
  <si>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</si>
  <si>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</si>
  <si>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</si>
  <si>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</si>
  <si>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</si>
  <si>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</si>
  <si>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</si>
  <si>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</si>
  <si>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</si>
  <si>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</si>
  <si>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</si>
  <si>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</si>
  <si>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</si>
  <si>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</si>
  <si>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</si>
  <si>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</si>
  <si>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</si>
  <si>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</si>
  <si>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</si>
  <si>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</si>
  <si>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</si>
  <si>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</si>
  <si>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</si>
  <si>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</si>
  <si>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</si>
  <si>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</si>
  <si>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</si>
  <si>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</si>
  <si>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</si>
  <si>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</si>
  <si>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</si>
  <si>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</si>
  <si>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</si>
  <si>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</si>
  <si>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</si>
  <si>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</si>
  <si>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</si>
  <si>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</si>
  <si>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</si>
  <si>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</si>
  <si>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</si>
  <si>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</si>
  <si>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</si>
  <si>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</si>
  <si>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</si>
  <si>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</si>
  <si>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</si>
  <si>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</si>
  <si>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</si>
  <si>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</si>
  <si>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</si>
  <si>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</si>
  <si>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</si>
  <si>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</si>
  <si>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</si>
  <si>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</si>
  <si>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</si>
  <si>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</si>
  <si>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</si>
  <si>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</si>
  <si>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</si>
  <si>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</si>
  <si>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</si>
  <si>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</si>
  <si>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</si>
  <si>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</si>
  <si>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</si>
  <si>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</si>
  <si>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</si>
  <si>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</si>
  <si>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</si>
  <si>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</si>
  <si>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</si>
  <si>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</si>
  <si>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</si>
  <si>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</si>
  <si>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</si>
  <si>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</si>
  <si>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</si>
  <si>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</si>
  <si>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</si>
  <si>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</si>
  <si>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</si>
  <si>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</si>
  <si>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</si>
  <si>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</si>
  <si>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</si>
  <si>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</si>
  <si>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</si>
  <si>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</si>
  <si>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</si>
  <si>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</si>
  <si>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</si>
  <si>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</si>
  <si>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</si>
  <si>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</si>
  <si>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</si>
  <si>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</si>
  <si>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</si>
  <si>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</si>
  <si>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</si>
  <si>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</si>
  <si>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</si>
  <si>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</si>
  <si>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</si>
  <si>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</si>
  <si>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</si>
  <si>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</si>
  <si>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</si>
  <si>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</si>
  <si>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</si>
  <si>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</si>
  <si>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</si>
  <si>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</si>
  <si>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</si>
  <si>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</si>
  <si>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</si>
  <si>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</si>
  <si>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</si>
  <si>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</si>
  <si>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</si>
  <si>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</si>
  <si>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</si>
  <si>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</si>
  <si>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</si>
  <si>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</si>
  <si>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</si>
  <si>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</si>
  <si>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</si>
  <si>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</si>
  <si>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</si>
  <si>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</si>
  <si>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</si>
  <si>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</si>
  <si>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</si>
  <si>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</si>
  <si>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</si>
  <si>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</si>
  <si>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</si>
  <si>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</si>
  <si>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</si>
  <si>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</si>
  <si>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</si>
  <si>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</si>
  <si>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</si>
  <si>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</si>
  <si>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</si>
  <si>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</si>
  <si>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</si>
  <si>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</si>
  <si>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</si>
  <si>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</si>
  <si>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</si>
  <si>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</si>
  <si>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</si>
  <si>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</si>
  <si>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</si>
  <si>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</si>
  <si>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</si>
  <si>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</si>
  <si>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</si>
  <si>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</si>
  <si>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</si>
  <si>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</si>
  <si>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</si>
  <si>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</si>
  <si>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</si>
  <si>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</si>
  <si>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</si>
  <si>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</si>
  <si>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</si>
  <si>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</si>
  <si>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</si>
  <si>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</si>
  <si>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</si>
  <si>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</si>
  <si>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</si>
  <si>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</si>
  <si>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</si>
  <si>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</si>
  <si>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</si>
  <si>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</si>
  <si>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</si>
  <si>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</si>
  <si>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</si>
  <si>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</si>
  <si>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</si>
  <si>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</si>
  <si>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</si>
  <si>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</si>
  <si>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</si>
  <si>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</si>
  <si>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</si>
  <si>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</si>
  <si>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</si>
  <si>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</si>
  <si>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</si>
  <si>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</si>
  <si>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</si>
  <si>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</si>
  <si>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</si>
  <si>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</si>
  <si>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</si>
  <si>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</si>
  <si>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</si>
  <si>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</si>
  <si>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</si>
  <si>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</si>
  <si>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</si>
  <si>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</si>
  <si>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</si>
  <si>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</si>
  <si>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</si>
  <si>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</si>
  <si>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</si>
  <si>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</si>
  <si>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</si>
  <si>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</si>
  <si>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</si>
  <si>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</si>
  <si>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</si>
  <si>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</si>
  <si>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</si>
  <si>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</si>
  <si>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</si>
  <si>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</si>
  <si>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</si>
  <si>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</si>
  <si>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</si>
  <si>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</si>
  <si>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</si>
  <si>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</si>
  <si>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</si>
  <si>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</si>
  <si>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</si>
  <si>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</si>
  <si>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</si>
  <si>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</si>
  <si>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</si>
  <si>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</si>
  <si>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</si>
  <si>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</si>
  <si>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</si>
  <si>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</si>
  <si>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</si>
  <si>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</si>
  <si>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</si>
  <si>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</si>
  <si>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</si>
  <si>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</si>
  <si>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</si>
  <si>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</si>
  <si>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</si>
  <si>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</si>
  <si>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</si>
  <si>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</si>
  <si>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</si>
  <si>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</si>
  <si>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</si>
  <si>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</si>
  <si>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</si>
  <si>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</si>
  <si>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</si>
  <si>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</si>
  <si>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</si>
  <si>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</si>
  <si>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</si>
  <si>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</si>
  <si>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</si>
  <si>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</si>
  <si>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</si>
  <si>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</si>
  <si>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</si>
  <si>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</si>
  <si>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</si>
  <si>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</si>
  <si>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</si>
  <si>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</si>
  <si>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</si>
  <si>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</si>
  <si>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</si>
  <si>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</si>
  <si>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</si>
  <si>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</si>
  <si>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</si>
  <si>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</si>
  <si>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</si>
  <si>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</si>
  <si>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</si>
  <si>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</si>
  <si>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</si>
  <si>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</si>
  <si>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</si>
  <si>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</si>
  <si>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</si>
  <si>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</si>
  <si>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</si>
  <si>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</si>
  <si>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</si>
  <si>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</si>
  <si>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</si>
  <si>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</si>
  <si>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</si>
  <si>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</si>
  <si>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</si>
  <si>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</si>
  <si>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</si>
  <si>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</si>
  <si>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</si>
  <si>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</si>
  <si>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</si>
  <si>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</si>
  <si>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</si>
  <si>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</si>
  <si>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</si>
  <si>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</si>
  <si>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</si>
  <si>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</si>
  <si>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</si>
  <si>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</si>
  <si>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</si>
  <si>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</si>
  <si>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</si>
  <si>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</si>
  <si>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</si>
  <si>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</si>
  <si>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</si>
  <si>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</si>
  <si>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</si>
  <si>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</si>
  <si>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</si>
  <si>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</si>
  <si>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</si>
  <si>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</si>
  <si>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</si>
  <si>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</si>
  <si>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</si>
  <si>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</si>
  <si>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</si>
  <si>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</si>
  <si>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</si>
  <si>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</si>
  <si>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</si>
  <si>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</si>
  <si>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</si>
  <si>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</si>
  <si>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</si>
  <si>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</si>
  <si>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</si>
  <si>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</si>
  <si>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</si>
  <si>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</si>
  <si>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</si>
  <si>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</si>
  <si>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</si>
  <si>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</si>
  <si>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</si>
  <si>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</si>
  <si>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</si>
  <si>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</si>
  <si>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</si>
  <si>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</si>
  <si>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</si>
  <si>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</si>
  <si>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</si>
  <si>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</si>
  <si>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</si>
  <si>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</si>
  <si>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</si>
  <si>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</si>
  <si>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</si>
  <si>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</si>
  <si>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</si>
  <si>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</si>
  <si>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</si>
  <si>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</si>
  <si>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</si>
  <si>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</si>
  <si>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</si>
  <si>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</si>
  <si>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</si>
  <si>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</si>
  <si>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</si>
  <si>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</si>
  <si>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</si>
  <si>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</si>
  <si>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</si>
  <si>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</si>
  <si>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</si>
  <si>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</si>
  <si>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</si>
  <si>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</si>
  <si>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</si>
  <si>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</si>
  <si>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</si>
  <si>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</si>
  <si>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</si>
  <si>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</si>
  <si>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</si>
  <si>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</si>
  <si>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</si>
  <si>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</si>
  <si>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</si>
  <si>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</si>
  <si>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</si>
  <si>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</si>
  <si>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</si>
  <si>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</si>
  <si>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</si>
  <si>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</si>
  <si>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</si>
  <si>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</si>
  <si>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</si>
  <si>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</si>
  <si>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</si>
  <si>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</si>
  <si>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</si>
  <si>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</si>
  <si>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</si>
  <si>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</si>
  <si>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</si>
  <si>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</si>
  <si>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</si>
  <si>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</si>
  <si>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</si>
  <si>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</si>
  <si>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</si>
  <si>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</si>
  <si>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</si>
  <si>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</si>
  <si>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</si>
  <si>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</si>
  <si>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</si>
  <si>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</si>
  <si>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</si>
  <si>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</si>
  <si>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</si>
  <si>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</si>
  <si>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</si>
  <si>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</si>
  <si>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</si>
  <si>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</si>
  <si>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</si>
  <si>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</si>
  <si>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</si>
  <si>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</si>
  <si>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</si>
  <si>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</si>
  <si>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</si>
  <si>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</si>
  <si>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</si>
  <si>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</si>
  <si>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</si>
  <si>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</si>
  <si>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</si>
  <si>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</si>
  <si>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</si>
  <si>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</si>
  <si>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</si>
  <si>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</si>
  <si>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</si>
  <si>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</si>
  <si>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</si>
  <si>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</si>
  <si>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</si>
  <si>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</si>
  <si>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</si>
  <si>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</si>
  <si>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</si>
  <si>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</si>
  <si>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</si>
  <si>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</si>
  <si>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</si>
  <si>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</si>
  <si>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</si>
  <si>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</si>
  <si>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</si>
  <si>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</si>
  <si>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</si>
  <si>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</si>
  <si>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</si>
  <si>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</si>
  <si>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</si>
  <si>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</si>
  <si>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</si>
  <si>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</si>
  <si>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</si>
  <si>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</si>
  <si>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</si>
  <si>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</si>
  <si>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</si>
  <si>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</si>
  <si>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</si>
  <si>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</si>
  <si>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</si>
  <si>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</si>
  <si>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</si>
  <si>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</si>
  <si>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</si>
  <si>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</si>
  <si>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</si>
  <si>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</si>
  <si>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</si>
  <si>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</si>
  <si>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</si>
  <si>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</si>
  <si>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</si>
  <si>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</si>
  <si>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</si>
  <si>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</si>
  <si>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</si>
  <si>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</si>
  <si>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</si>
  <si>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</si>
  <si>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</si>
  <si>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</si>
  <si>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</si>
  <si>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</si>
  <si>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</si>
  <si>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</si>
  <si>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</si>
  <si>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</si>
  <si>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</si>
  <si>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</si>
  <si>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</si>
  <si>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</si>
  <si>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</si>
  <si>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</si>
  <si>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</si>
  <si>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</si>
  <si>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</si>
  <si>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</si>
  <si>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</si>
  <si>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</si>
  <si>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</si>
  <si>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</si>
  <si>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</si>
  <si>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</si>
  <si>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</si>
  <si>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</si>
  <si>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</si>
  <si>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</si>
  <si>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</si>
  <si>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</si>
  <si>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</si>
  <si>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</si>
  <si>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</si>
  <si>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</si>
  <si>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</si>
  <si>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</si>
  <si>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</si>
  <si>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</si>
  <si>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</si>
  <si>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</si>
  <si>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</si>
  <si>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</si>
  <si>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</si>
  <si>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</si>
  <si>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</si>
  <si>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</si>
  <si>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</si>
  <si>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</si>
  <si>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</si>
  <si>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</si>
  <si>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</si>
  <si>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</si>
  <si>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</si>
  <si>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</si>
  <si>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</si>
  <si>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</si>
  <si>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</si>
  <si>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</si>
  <si>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</si>
  <si>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</si>
  <si>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</si>
  <si>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</si>
  <si>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</si>
  <si>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</si>
  <si>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</si>
  <si>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</si>
  <si>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</si>
  <si>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</si>
  <si>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</si>
  <si>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</si>
  <si>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</si>
  <si>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</si>
  <si>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</si>
  <si>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</si>
  <si>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</si>
  <si>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</si>
  <si>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</si>
  <si>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</si>
  <si>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</si>
  <si>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</si>
  <si>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</si>
  <si>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</si>
  <si>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</si>
  <si>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</si>
  <si>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</si>
  <si>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</si>
  <si>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</si>
  <si>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</si>
  <si>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</si>
  <si>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</si>
  <si>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</si>
  <si>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</si>
  <si>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</si>
  <si>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</si>
  <si>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</si>
  <si>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</si>
  <si>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</si>
  <si>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</si>
  <si>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</si>
  <si>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</si>
  <si>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</si>
  <si>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</si>
  <si>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</si>
  <si>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</si>
  <si>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</si>
  <si>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</si>
  <si>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</si>
  <si>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</si>
  <si>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</si>
  <si>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</si>
  <si>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</si>
  <si>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</si>
  <si>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</si>
  <si>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</si>
  <si>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</si>
  <si>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</si>
  <si>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</si>
  <si>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</si>
  <si>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</si>
  <si>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</si>
  <si>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</si>
  <si>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</si>
  <si>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</si>
  <si>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</si>
  <si>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</si>
  <si>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</si>
  <si>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</si>
  <si>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</si>
  <si>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</si>
  <si>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</si>
  <si>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</si>
  <si>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</si>
  <si>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</si>
  <si>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</si>
  <si>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</si>
  <si>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</si>
  <si>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</si>
  <si>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</si>
  <si>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</si>
  <si>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</si>
  <si>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</si>
  <si>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</si>
  <si>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</si>
  <si>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</si>
  <si>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</si>
  <si>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</si>
  <si>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</si>
  <si>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</si>
  <si>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</si>
  <si>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</si>
  <si>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</si>
  <si>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</si>
  <si>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</si>
  <si>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</si>
  <si>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</si>
  <si>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</si>
  <si>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</si>
  <si>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</si>
  <si>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</si>
  <si>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</si>
  <si>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</si>
  <si>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</si>
  <si>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</si>
  <si>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</si>
  <si>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</si>
  <si>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</si>
  <si>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</si>
  <si>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</si>
  <si>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</si>
  <si>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</si>
  <si>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</si>
  <si>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</si>
  <si>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</si>
  <si>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</si>
  <si>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</si>
  <si>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</si>
  <si>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</si>
  <si>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</si>
  <si>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</si>
  <si>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</si>
  <si>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</si>
  <si>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</si>
  <si>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</si>
  <si>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</si>
  <si>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</si>
  <si>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</si>
  <si>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</si>
  <si>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</si>
  <si>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</si>
  <si>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</si>
  <si>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</si>
  <si>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</si>
  <si>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</si>
  <si>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</si>
  <si>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</si>
  <si>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</si>
  <si>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</si>
  <si>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</si>
  <si>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</si>
  <si>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</si>
  <si>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</si>
  <si>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</si>
  <si>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</si>
  <si>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</si>
  <si>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</si>
  <si>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</si>
  <si>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</si>
  <si>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</si>
  <si>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</si>
  <si>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</si>
  <si>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</si>
  <si>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</si>
  <si>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</si>
  <si>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</si>
  <si>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</si>
  <si>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</si>
  <si>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</si>
  <si>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</si>
  <si>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</si>
  <si>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</si>
  <si>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</si>
  <si>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</si>
  <si>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</si>
  <si>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</si>
  <si>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</si>
  <si>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</si>
  <si>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</si>
  <si>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</si>
  <si>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</si>
  <si>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</si>
  <si>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</si>
  <si>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</si>
  <si>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</si>
  <si>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</si>
  <si>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</si>
  <si>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</si>
  <si>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</si>
  <si>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</si>
  <si>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</si>
  <si>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</si>
  <si>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</si>
  <si>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</si>
  <si>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</si>
  <si>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</si>
  <si>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</si>
  <si>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</si>
  <si>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</si>
  <si>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</si>
  <si>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</si>
  <si>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</si>
  <si>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</si>
  <si>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</si>
  <si>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</si>
  <si>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</si>
  <si>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</si>
  <si>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</si>
  <si>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</si>
  <si>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</si>
  <si>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</si>
  <si>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</si>
  <si>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</si>
  <si>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</si>
  <si>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</si>
  <si>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</si>
  <si>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</si>
  <si>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</si>
  <si>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</si>
  <si>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</si>
  <si>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</si>
  <si>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</si>
  <si>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</si>
  <si>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</si>
  <si>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</si>
  <si>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</si>
  <si>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</si>
  <si>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</si>
  <si>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</si>
  <si>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</si>
  <si>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</si>
  <si>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</si>
  <si>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</si>
  <si>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</si>
  <si>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</si>
  <si>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</si>
  <si>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</si>
  <si>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</si>
  <si>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</si>
  <si>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</si>
  <si>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</si>
  <si>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</si>
  <si>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</si>
  <si>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</si>
  <si>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</si>
  <si>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</si>
  <si>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</si>
  <si>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</si>
  <si>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</si>
  <si>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</si>
  <si>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</si>
  <si>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</si>
  <si>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</si>
  <si>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</si>
  <si>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</si>
  <si>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</si>
  <si>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</si>
  <si>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</si>
  <si>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</si>
  <si>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</si>
  <si>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</si>
  <si>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</si>
  <si>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</si>
  <si>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</si>
  <si>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</si>
  <si>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</si>
  <si>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</si>
  <si>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</si>
  <si>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</si>
  <si>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</si>
  <si>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</si>
  <si>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</si>
  <si>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</si>
  <si>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</si>
  <si>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</si>
  <si>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</si>
  <si>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</si>
  <si>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</si>
  <si>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</si>
  <si>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</si>
  <si>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</si>
  <si>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</si>
  <si>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</si>
  <si>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</si>
  <si>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</si>
  <si>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</si>
  <si>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</si>
  <si>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</si>
  <si>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</si>
  <si>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</si>
  <si>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</si>
  <si>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</si>
  <si>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</si>
  <si>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</si>
  <si>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</si>
  <si>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</si>
  <si>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</si>
  <si>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</si>
  <si>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</si>
  <si>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</si>
  <si>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</si>
  <si>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</si>
  <si>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</si>
  <si>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</si>
  <si>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</si>
  <si>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</si>
  <si>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</si>
  <si>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</si>
  <si>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</si>
  <si>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</si>
  <si>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</si>
  <si>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</si>
  <si>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</si>
  <si>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</si>
  <si>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</si>
  <si>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</si>
  <si>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</si>
  <si>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</si>
  <si>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</si>
  <si>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</si>
  <si>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</si>
  <si>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</si>
  <si>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</si>
  <si>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</si>
  <si>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</si>
  <si>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</si>
  <si>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</si>
  <si>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</si>
  <si>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</si>
  <si>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</si>
  <si>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</si>
  <si>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</si>
  <si>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</si>
  <si>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</si>
  <si>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</si>
  <si>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</si>
  <si>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</si>
  <si>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</si>
  <si>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</si>
  <si>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</si>
  <si>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</si>
  <si>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</si>
  <si>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</si>
  <si>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</si>
  <si>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</si>
  <si>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</si>
  <si>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</si>
  <si>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</si>
  <si>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</si>
  <si>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</si>
  <si>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</si>
  <si>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</si>
  <si>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</si>
  <si>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</si>
  <si>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</si>
  <si>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</si>
  <si>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</si>
  <si>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</si>
  <si>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</si>
  <si>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</si>
  <si>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</si>
  <si>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</si>
  <si>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</si>
  <si>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</si>
  <si>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</si>
  <si>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</si>
  <si>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</si>
  <si>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</si>
  <si>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</si>
  <si>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</si>
  <si>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</si>
  <si>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</si>
  <si>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</si>
  <si>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</si>
  <si>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</si>
  <si>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</si>
  <si>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</si>
  <si>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</si>
  <si>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</si>
  <si>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</si>
  <si>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</si>
  <si>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</si>
  <si>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</si>
  <si>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</si>
  <si>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</si>
  <si>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</si>
  <si>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</si>
  <si>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</si>
  <si>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</si>
  <si>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</si>
  <si>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</si>
  <si>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</si>
  <si>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</si>
  <si>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</si>
  <si>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</si>
  <si>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</si>
  <si>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</si>
  <si>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</si>
  <si>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</si>
  <si>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</si>
  <si>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</si>
  <si>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</si>
  <si>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</si>
  <si>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</si>
  <si>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</si>
  <si>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</si>
  <si>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</si>
  <si>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</si>
  <si>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</si>
  <si>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</si>
  <si>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</si>
  <si>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</si>
  <si>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</si>
  <si>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</si>
  <si>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</si>
  <si>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</si>
  <si>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</si>
  <si>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</si>
  <si>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</si>
  <si>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</si>
  <si>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</si>
  <si>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</si>
  <si>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</si>
  <si>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</si>
  <si>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</si>
  <si>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</si>
  <si>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</si>
  <si>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</si>
  <si>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</si>
  <si>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</si>
  <si>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</si>
  <si>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</si>
  <si>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</si>
  <si>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</si>
  <si>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</si>
  <si>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</si>
  <si>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</si>
  <si>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</si>
  <si>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</si>
  <si>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</si>
  <si>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</si>
  <si>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</si>
  <si>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</si>
  <si>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</si>
  <si>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</si>
  <si>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</si>
  <si>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</si>
  <si>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</si>
  <si>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</si>
  <si>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</si>
  <si>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</si>
  <si>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</si>
  <si>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</si>
  <si>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</si>
  <si>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</si>
  <si>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</si>
  <si>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</si>
  <si>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</si>
  <si>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</si>
  <si>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</si>
  <si>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</si>
  <si>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</si>
  <si>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</si>
  <si>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</si>
  <si>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</si>
  <si>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</si>
  <si>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</si>
  <si>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</si>
  <si>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</si>
  <si>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</si>
  <si>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</si>
  <si>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</si>
  <si>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</si>
  <si>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</si>
  <si>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</si>
  <si>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</si>
  <si>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</si>
  <si>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</si>
  <si>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</si>
  <si>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</si>
  <si>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</si>
  <si>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</si>
  <si>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</si>
  <si>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</si>
  <si>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</si>
  <si>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</si>
  <si>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</si>
  <si>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</si>
  <si>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</si>
  <si>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</si>
  <si>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</si>
  <si>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</si>
  <si>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</si>
  <si>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</si>
  <si>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</si>
  <si>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</si>
  <si>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</si>
  <si>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</si>
  <si>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</si>
  <si>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</si>
  <si>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</si>
  <si>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</si>
  <si>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</si>
  <si>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</si>
  <si>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</si>
  <si>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</si>
  <si>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</si>
  <si>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</si>
  <si>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</si>
  <si>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</si>
  <si>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</si>
  <si>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</si>
  <si>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</si>
  <si>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</si>
  <si>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</si>
  <si>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</si>
  <si>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</si>
  <si>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</si>
  <si>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</si>
  <si>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</si>
  <si>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</si>
  <si>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</si>
  <si>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</si>
  <si>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</si>
  <si>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</si>
  <si>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</si>
  <si>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</si>
  <si>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</si>
  <si>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</si>
  <si>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</si>
  <si>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</si>
  <si>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</si>
  <si>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</si>
  <si>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</si>
  <si>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</si>
  <si>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</si>
  <si>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</si>
  <si>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</si>
  <si>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</si>
  <si>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</si>
  <si>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</si>
  <si>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</si>
  <si>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</si>
  <si>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</si>
  <si>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</si>
  <si>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</si>
  <si>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</si>
  <si>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</si>
  <si>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</si>
  <si>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</si>
  <si>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</si>
  <si>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</si>
  <si>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</si>
  <si>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</si>
  <si>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</si>
  <si>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</si>
  <si>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</si>
  <si>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</si>
  <si>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</si>
  <si>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</si>
  <si>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</si>
  <si>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</si>
  <si>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</si>
  <si>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</si>
  <si>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</si>
  <si>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</si>
  <si>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</si>
  <si>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</si>
  <si>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</si>
  <si>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</si>
  <si>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</si>
  <si>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</si>
  <si>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</si>
  <si>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</si>
  <si>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</si>
  <si>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</si>
  <si>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</si>
  <si>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</si>
  <si>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</si>
  <si>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</si>
  <si>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</si>
  <si>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</si>
  <si>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</si>
  <si>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</si>
  <si>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</si>
  <si>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</si>
  <si>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</si>
  <si>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</si>
  <si>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</si>
  <si>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</si>
  <si>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</si>
  <si>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</si>
  <si>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</si>
  <si>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</si>
  <si>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</si>
  <si>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</si>
  <si>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</si>
  <si>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</si>
  <si>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</si>
  <si>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</si>
  <si>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</si>
  <si>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</si>
  <si>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</si>
  <si>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</si>
  <si>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</si>
  <si>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</si>
  <si>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</si>
  <si>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</si>
  <si>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</si>
  <si>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</si>
  <si>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</si>
  <si>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</si>
  <si>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</si>
  <si>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</si>
  <si>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</si>
  <si>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</si>
  <si>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</si>
  <si>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</si>
  <si>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</si>
  <si>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</si>
  <si>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</si>
  <si>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</si>
  <si>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</si>
  <si>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</si>
  <si>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</si>
  <si>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</si>
  <si>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</si>
  <si>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</si>
  <si>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</si>
  <si>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</si>
  <si>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</si>
  <si>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</si>
  <si>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</si>
  <si>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</si>
  <si>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</si>
  <si>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</si>
  <si>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</si>
  <si>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</si>
  <si>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</si>
  <si>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</si>
  <si>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</si>
  <si>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</si>
  <si>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</si>
  <si>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</si>
  <si>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</si>
  <si>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</si>
  <si>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</si>
  <si>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</si>
  <si>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</si>
  <si>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</si>
  <si>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</si>
  <si>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</si>
  <si>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</si>
  <si>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</si>
  <si>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</si>
  <si>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</si>
  <si>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</si>
  <si>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</si>
  <si>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</si>
  <si>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</si>
  <si>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</si>
  <si>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</si>
  <si>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</si>
  <si>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</si>
  <si>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</si>
  <si>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</si>
  <si>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</si>
  <si>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</si>
  <si>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</si>
  <si>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</si>
  <si>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</si>
  <si>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</si>
  <si>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</si>
  <si>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</si>
  <si>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</si>
  <si>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</si>
  <si>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</si>
  <si>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</si>
  <si>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</si>
  <si>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</si>
  <si>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</si>
  <si>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</si>
  <si>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</si>
  <si>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</si>
  <si>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</si>
  <si>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</si>
  <si>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</si>
  <si>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</si>
  <si>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</si>
  <si>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</si>
  <si>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</si>
  <si>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</si>
  <si>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</si>
  <si>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</si>
  <si>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</si>
  <si>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</si>
  <si>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</si>
  <si>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</si>
  <si>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</si>
  <si>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</si>
  <si>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</si>
  <si>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</si>
  <si>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</si>
  <si>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</si>
  <si>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</si>
  <si>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</si>
  <si>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</si>
  <si>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</si>
  <si>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</si>
  <si>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</si>
  <si>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</si>
  <si>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</si>
  <si>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</si>
  <si>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</si>
  <si>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</si>
  <si>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</si>
  <si>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</si>
  <si>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</si>
  <si>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</si>
  <si>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</si>
  <si>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</si>
  <si>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</si>
  <si>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</si>
  <si>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</si>
  <si>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</si>
  <si>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</si>
  <si>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</si>
  <si>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</si>
  <si>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</si>
  <si>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</si>
  <si>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</si>
  <si>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</si>
  <si>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</si>
  <si>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</si>
  <si>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</si>
  <si>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</si>
  <si>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</si>
  <si>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</si>
  <si>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</si>
  <si>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</si>
  <si>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</si>
  <si>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</si>
  <si>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</si>
  <si>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</si>
  <si>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</si>
  <si>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</si>
  <si>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</si>
  <si>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</si>
  <si>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</si>
  <si>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</si>
  <si>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</si>
  <si>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</si>
  <si>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</si>
  <si>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</si>
  <si>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</si>
  <si>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</si>
  <si>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</si>
  <si>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</si>
  <si>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</si>
  <si>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</si>
  <si>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</si>
  <si>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</si>
  <si>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</si>
  <si>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</si>
  <si>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</si>
  <si>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</si>
  <si>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</si>
  <si>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</si>
  <si>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</si>
  <si>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</si>
  <si>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</si>
  <si>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</si>
  <si>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</si>
  <si>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</si>
  <si>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</si>
  <si>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</si>
  <si>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</si>
  <si>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</si>
  <si>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</si>
  <si>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</si>
  <si>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</si>
  <si>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</si>
  <si>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</si>
  <si>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</si>
  <si>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</si>
  <si>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</si>
  <si>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</si>
  <si>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</si>
  <si>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</si>
  <si>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</si>
  <si>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</si>
  <si>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</si>
  <si>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</si>
  <si>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</si>
  <si>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</si>
  <si>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</si>
  <si>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</si>
  <si>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</si>
  <si>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</si>
  <si>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</si>
  <si>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</si>
  <si>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</si>
  <si>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</si>
  <si>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</si>
  <si>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</si>
  <si>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</si>
  <si>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</si>
  <si>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</si>
  <si>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</si>
  <si>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</si>
  <si>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</si>
  <si>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</si>
  <si>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</si>
  <si>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</si>
  <si>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</si>
  <si>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</si>
  <si>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</si>
  <si>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</si>
  <si>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</si>
  <si>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</si>
  <si>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</si>
  <si>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</si>
  <si>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</si>
  <si>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</si>
  <si>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</si>
  <si>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</si>
  <si>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</si>
  <si>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</si>
  <si>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</si>
  <si>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</si>
  <si>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</si>
  <si>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</si>
  <si>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</si>
  <si>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</si>
  <si>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</si>
  <si>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</si>
  <si>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</si>
  <si>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</si>
  <si>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</si>
  <si>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</si>
  <si>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</si>
  <si>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</si>
  <si>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</si>
  <si>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</si>
  <si>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</si>
  <si>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</si>
  <si>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</si>
  <si>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</si>
  <si>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</si>
  <si>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</si>
  <si>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</si>
  <si>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</si>
  <si>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</si>
  <si>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</si>
  <si>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</si>
  <si>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</si>
  <si>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</si>
  <si>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</si>
  <si>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</si>
  <si>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</si>
  <si>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</si>
  <si>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</si>
  <si>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</si>
  <si>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</si>
  <si>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</si>
  <si>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</si>
  <si>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</si>
  <si>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</si>
  <si>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</si>
  <si>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</si>
  <si>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</si>
  <si>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</si>
  <si>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</si>
  <si>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</si>
  <si>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</si>
  <si>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</si>
  <si>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</si>
  <si>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</si>
  <si>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</si>
  <si>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</si>
  <si>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</si>
  <si>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</si>
  <si>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</si>
  <si>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</si>
  <si>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</si>
  <si>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</si>
  <si>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</si>
  <si>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</si>
  <si>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</si>
  <si>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</si>
  <si>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</si>
  <si>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</si>
  <si>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</si>
  <si>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</si>
  <si>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</si>
  <si>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</si>
  <si>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</si>
  <si>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</si>
  <si>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</si>
  <si>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</si>
  <si>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</si>
  <si>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</si>
  <si>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</si>
  <si>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</si>
  <si>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</si>
  <si>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</si>
  <si>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</si>
  <si>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</si>
  <si>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</si>
  <si>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</si>
  <si>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</si>
  <si>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</si>
  <si>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</si>
  <si>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</si>
  <si>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</si>
  <si>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</si>
  <si>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</si>
  <si>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</si>
  <si>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</si>
  <si>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</si>
  <si>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</si>
  <si>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</si>
  <si>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</si>
  <si>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</si>
  <si>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</si>
  <si>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</si>
  <si>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</si>
  <si>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</si>
  <si>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</si>
  <si>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</si>
  <si>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</si>
  <si>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</si>
  <si>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</si>
  <si>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</si>
  <si>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</si>
  <si>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</si>
  <si>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</si>
  <si>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</si>
  <si>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</si>
  <si>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</si>
  <si>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</si>
  <si>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</si>
  <si>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</si>
  <si>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</si>
  <si>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</si>
  <si>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</si>
  <si>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</si>
  <si>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</si>
  <si>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</si>
  <si>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</si>
  <si>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</si>
  <si>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</si>
  <si>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</si>
  <si>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</si>
  <si>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</si>
  <si>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</si>
  <si>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</si>
  <si>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</si>
  <si>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</si>
  <si>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</si>
  <si>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</si>
  <si>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</si>
  <si>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</si>
  <si>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</si>
  <si>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</si>
  <si>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</si>
  <si>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</si>
  <si>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</si>
  <si>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</si>
  <si>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</si>
  <si>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</si>
  <si>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</si>
  <si>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</si>
  <si>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</si>
  <si>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</si>
  <si>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</si>
  <si>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</si>
  <si>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</si>
  <si>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</si>
  <si>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</si>
  <si>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</si>
  <si>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</si>
  <si>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</si>
  <si>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</si>
  <si>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</si>
  <si>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</si>
  <si>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</si>
  <si>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</si>
  <si>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</si>
  <si>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</si>
  <si>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</si>
  <si>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</si>
  <si>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</si>
  <si>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</si>
  <si>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</si>
  <si>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</si>
  <si>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</si>
  <si>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</si>
  <si>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</si>
  <si>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</si>
  <si>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</si>
  <si>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</si>
  <si>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</si>
  <si>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</si>
  <si>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</si>
  <si>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</si>
  <si>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</si>
  <si>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</si>
  <si>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</si>
  <si>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</si>
  <si>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</si>
  <si>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</si>
  <si>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</si>
  <si>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</si>
  <si>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</si>
  <si>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</si>
  <si>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</si>
  <si>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</si>
  <si>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</si>
  <si>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</si>
  <si>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</si>
  <si>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</si>
  <si>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</si>
  <si>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</si>
  <si>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</si>
  <si>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</si>
  <si>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</si>
  <si>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</si>
  <si>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</si>
  <si>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</si>
  <si>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</si>
  <si>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</si>
  <si>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</si>
  <si>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</si>
  <si>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</si>
  <si>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</si>
  <si>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</si>
  <si>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</si>
  <si>
    <t>Price_Check</t>
  </si>
  <si>
    <t>IIC_QTY_Check</t>
  </si>
  <si>
    <t>Tracking_Check</t>
  </si>
  <si>
    <t>Tracking_Check_1</t>
  </si>
  <si>
    <t>Tracking_Check_2</t>
  </si>
  <si>
    <t>Tracking_Flag</t>
  </si>
  <si>
    <t>Price_Positive_Check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</si>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</sst>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109043-19B9-4698-8733-88B8D1062871}" autoFormatId="16" applyNumberFormats="0" applyBorderFormats="0" applyFontFormats="0" applyPatternFormats="0" applyAlignmentFormats="0" applyWidthHeightFormats="0">
  <queryTableRefresh nextId="25" unboundColumnsRight="7">
    <queryTableFields count="21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6" dataBound="0" tableColumnId="16"/>
      <queryTableField id="17" dataBound="0" tableColumnId="17"/>
      <queryTableField id="20" dataBound="0" tableColumnId="20"/>
      <queryTableField id="18" dataBound="0" tableColumnId="18"/>
      <queryTableField id="21" dataBound="0" tableColumnId="21"/>
      <queryTableField id="22" dataBound="0" tableColumnId="22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2C5A4E-CC93-424E-B2F0-8199081F710A}" name="Sheet1" displayName="Sheet1" ref="A1:U1201" tableType="queryTable" totalsRowShown="0">
  <autoFilter ref="A1:U1201" xr:uid="{8E2C5A4E-CC93-424E-B2F0-8199081F710A}"/>
  <tableColumns count="21">
    <tableColumn id="1" xr3:uid="{D826E718-002C-4F24-AE72-4538F73AF967}" uniqueName="1" name="OrderID" queryTableFieldId="1" dataDxfId="18"/>
    <tableColumn id="2" xr3:uid="{6F51BA17-6577-4D5E-A124-0784EE1B8C23}" uniqueName="2" name="Date" queryTableFieldId="2" dataDxfId="17"/>
    <tableColumn id="3" xr3:uid="{91159782-6AF3-46B2-9FCB-AC851F0EBC22}" uniqueName="3" name="CustomerID" queryTableFieldId="3" dataDxfId="16"/>
    <tableColumn id="4" xr3:uid="{82B3893C-A72D-440A-9393-4BEC4390B398}" uniqueName="4" name="Product" queryTableFieldId="4" dataDxfId="15"/>
    <tableColumn id="5" xr3:uid="{0DFD8500-B641-44BA-9DBE-4DE437C85DBE}" uniqueName="5" name="Quantity" queryTableFieldId="5" dataDxfId="14"/>
    <tableColumn id="6" xr3:uid="{1FFD48FB-86EA-4283-9B1A-30D1BCE0DB07}" uniqueName="6" name="UnitPrice" queryTableFieldId="6"/>
    <tableColumn id="7" xr3:uid="{DB20A152-BE70-40A6-A022-8FFEE4BDF1F5}" uniqueName="7" name="ShippingAddress" queryTableFieldId="7" dataDxfId="13"/>
    <tableColumn id="8" xr3:uid="{00F020E3-BCC9-4CF1-BC37-FA6B636AAFFD}" uniqueName="8" name="PaymentMethod" queryTableFieldId="8" dataDxfId="12"/>
    <tableColumn id="9" xr3:uid="{CF7FE15C-B73D-4FB6-9679-5C5789CD7735}" uniqueName="9" name="OrderStatus" queryTableFieldId="9" dataDxfId="11"/>
    <tableColumn id="10" xr3:uid="{A793E335-0F60-44AA-B544-9C5A29FC88EB}" uniqueName="10" name="TrackingNumber" queryTableFieldId="10" dataDxfId="10"/>
    <tableColumn id="11" xr3:uid="{8017FA20-4168-4FD4-B465-C1DC9C335E99}" uniqueName="11" name="ItemsInCart" queryTableFieldId="11" dataDxfId="9"/>
    <tableColumn id="12" xr3:uid="{206A13A8-6235-4007-93CA-488DBC4614C2}" uniqueName="12" name="CouponCode" queryTableFieldId="12" dataDxfId="8"/>
    <tableColumn id="13" xr3:uid="{7CA32B00-B71B-488E-8513-AFA1380C03E9}" uniqueName="13" name="ReferralSource" queryTableFieldId="13" dataDxfId="7"/>
    <tableColumn id="14" xr3:uid="{1086758A-7BF9-4B5B-AB09-7332E6C936D7}" uniqueName="14" name="TotalPrice" queryTableFieldId="14"/>
    <tableColumn id="16" xr3:uid="{5D2EA0DF-83A7-4AFB-BB20-1B4DCC210604}" uniqueName="16" name="Price_Check" queryTableFieldId="16" dataDxfId="6">
      <calculatedColumnFormula>IF((Sheet1[[#This Row],[Quantity]]*Sheet1[[#This Row],[UnitPrice]])=(Sheet1[[#This Row],[TotalPrice]]), "True", "False")</calculatedColumnFormula>
    </tableColumn>
    <tableColumn id="17" xr3:uid="{CBAFAB91-5411-493E-988B-49660C44738F}" uniqueName="17" name="IIC_QTY_Check" queryTableFieldId="17" dataDxfId="5">
      <calculatedColumnFormula>IF((Sheet1[[#This Row],[ItemsInCart]]&gt;=Sheet1[[#This Row],[Quantity]]), "Good", "Bad")</calculatedColumnFormula>
    </tableColumn>
    <tableColumn id="20" xr3:uid="{20627570-C1EC-4856-9E62-0BEFD801023A}" uniqueName="20" name="Price_Positive_Check" queryTableFieldId="20" dataDxfId="4">
      <calculatedColumnFormula>IF(AND(E2&gt;0, F2&gt;0,N2&gt;0),"OK","INVALID")</calculatedColumnFormula>
    </tableColumn>
    <tableColumn id="18" xr3:uid="{F764F7E7-0F1E-4C3B-A5BF-D5AF268EA240}" uniqueName="18" name="Tracking_Check" queryTableFieldId="18" dataDxfId="3">
      <calculatedColumnFormula>IF(OR(AND(OR(I2="Shipped",I2="Delivered",I2="Returned"),J2=""),AND(OR(I2="Processing",I2="Pending",I2="Cancelled"),J2&lt;&gt;"")),"BAD","GOOD")</calculatedColumnFormula>
    </tableColumn>
    <tableColumn id="21" xr3:uid="{68A6974E-2A8B-4803-89FD-BC828C2B1B9D}" uniqueName="21" name="Tracking_Check_1" queryTableFieldId="21" dataDxfId="2">
      <calculatedColumnFormula>IF(AND(OR(I2="Shipped",I2="Delivered",I2="Returned"),J2=""),1,0)</calculatedColumnFormula>
    </tableColumn>
    <tableColumn id="22" xr3:uid="{547902A5-3533-4A6B-99C2-6D17415AF4A5}" uniqueName="22" name="Tracking_Check_2" queryTableFieldId="22" dataDxfId="1">
      <calculatedColumnFormula>IF(AND(OR(I2="Processing",I2="Pending",I2="Cancelled"),J2&lt;&gt;""),1,0)</calculatedColumnFormula>
    </tableColumn>
    <tableColumn id="23" xr3:uid="{2A9692F2-3C6E-493F-AB58-AAE254F7FFEA}" uniqueName="23" name="Tracking_Flag" queryTableFieldId="23" dataDxfId="0">
      <calculatedColumnFormula>IF(AND(OR(I2="Shipped",I2="Delivered"),J2=""),"MISSING_TRACKING", IF(AND(OR(I2="Processing",I2="Pending"),J2&lt;&gt;""),"DOCUMENTED", IF(AND(I2="Cancelled",J2&lt;&gt;""), "REVIEW_RETURN", "OK")))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17C9-38D9-4E41-B4F7-9F48DDCCE0ED}">
  <dimension ref="A1:X1201"/>
  <sheetViews>
    <sheetView tabSelected="1" topLeftCell="H1191" workbookViewId="0">
      <selection activeCell="L10" sqref="L10"/>
    </sheetView>
  </sheetViews>
  <sheetFormatPr defaultRowHeight="15"/>
  <cols>
    <col min="1" max="1" width="10.85546875" bestFit="1" customWidth="1"/>
    <col min="2" max="2" width="10.4257812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  <col min="15" max="15" width="14" bestFit="1" customWidth="1"/>
    <col min="16" max="16" width="16.5703125" bestFit="1" customWidth="1"/>
    <col min="17" max="17" width="17.7109375" bestFit="1" customWidth="1"/>
    <col min="18" max="18" width="17" bestFit="1" customWidth="1"/>
    <col min="19" max="20" width="19" bestFit="1" customWidth="1"/>
    <col min="21" max="21" width="16" bestFit="1" customWidth="1"/>
    <col min="23" max="23" width="16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4954</v>
      </c>
      <c r="P1" t="s">
        <v>4955</v>
      </c>
      <c r="Q1" t="s">
        <v>4960</v>
      </c>
      <c r="R1" t="s">
        <v>4956</v>
      </c>
      <c r="S1" t="s">
        <v>4957</v>
      </c>
      <c r="T1" t="s">
        <v>4958</v>
      </c>
      <c r="U1" t="s">
        <v>4959</v>
      </c>
    </row>
    <row r="2" spans="1:24">
      <c r="A2" t="s">
        <v>14</v>
      </c>
      <c r="B2" t="s">
        <v>4283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 t="str">
        <f>IF((Sheet1[[#This Row],[Quantity]]*Sheet1[[#This Row],[UnitPrice]])=(Sheet1[[#This Row],[TotalPrice]]), "True", "False")</f>
        <v>True</v>
      </c>
      <c r="P2" t="str">
        <f>IF((Sheet1[[#This Row],[ItemsInCart]]&gt;=Sheet1[[#This Row],[Quantity]]), "Good", "Bad")</f>
        <v>Good</v>
      </c>
      <c r="Q2" s="3" t="str">
        <f t="shared" ref="Q2:Q65" si="0">IF(AND(E2&gt;0, F2&gt;0,N2&gt;0),"OK","INVALID")</f>
        <v>OK</v>
      </c>
      <c r="R2" t="str">
        <f t="shared" ref="R2:R65" si="1">IF(OR(AND(OR(I2="Shipped",I2="Delivered",I2="Returned"),J2=""),AND(OR(I2="Processing",I2="Pending",I2="Cancelled"),J2&lt;&gt;"")),"BAD","GOOD")</f>
        <v>GOOD</v>
      </c>
      <c r="S2">
        <f t="shared" ref="S2:S65" si="2">IF(AND(OR(I2="Shipped",I2="Delivered",I2="Returned"),J2=""),1,0)</f>
        <v>0</v>
      </c>
      <c r="T2">
        <f t="shared" ref="T2:T65" si="3">IF(AND(OR(I2="Processing",I2="Pending",I2="Cancelled"),J2&lt;&gt;""),1,0)</f>
        <v>0</v>
      </c>
      <c r="U2" t="str">
        <f>IF(AND(OR(I2="Shipped",I2="Delivered"),J2=""),"MISSING_TRACKING", IF(AND(OR(I2="Processing",I2="Pending"),J2&lt;&gt;""),"DOCUMENTED", IF(AND(I2="Cancelled",J2&lt;&gt;""), "REVIEW_RETURN", "OK")))</f>
        <v>OK</v>
      </c>
      <c r="X2">
        <f>COUNTIF(P:P, "False")</f>
        <v>0</v>
      </c>
    </row>
    <row r="3" spans="1:24">
      <c r="A3" t="s">
        <v>15</v>
      </c>
      <c r="B3" t="s">
        <v>4284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 t="str">
        <f>IF((Sheet1[[#This Row],[Quantity]]*Sheet1[[#This Row],[UnitPrice]])=(Sheet1[[#This Row],[TotalPrice]]), "True", "False")</f>
        <v>True</v>
      </c>
      <c r="P3" t="str">
        <f>IF((Sheet1[[#This Row],[ItemsInCart]]&gt;=Sheet1[[#This Row],[Quantity]]), "Good", "Bad")</f>
        <v>Good</v>
      </c>
      <c r="Q3" t="str">
        <f t="shared" si="0"/>
        <v>OK</v>
      </c>
      <c r="R3" t="str">
        <f t="shared" si="1"/>
        <v>GOOD</v>
      </c>
      <c r="S3">
        <f t="shared" si="2"/>
        <v>0</v>
      </c>
      <c r="T3">
        <f t="shared" si="3"/>
        <v>0</v>
      </c>
      <c r="U3" t="str">
        <f t="shared" ref="U3:U65" si="4">IF(AND(OR(I3="Shipped",I3="Delivered"),J3=""),"MISSING_TRACKING", IF(AND(OR(I3="Processing",I3="Pending"),J3&lt;&gt;""),"DOCUMENTED", IF(AND(I3="Cancelled",J3&lt;&gt;""), "REVIEW_RETURN", "OK")))</f>
        <v>OK</v>
      </c>
      <c r="X3">
        <f>COUNTIF(S:S, "BAD")</f>
        <v>0</v>
      </c>
    </row>
    <row r="4" spans="1:24">
      <c r="A4" t="s">
        <v>16</v>
      </c>
      <c r="B4" t="s">
        <v>4285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 t="str">
        <f>IF((Sheet1[[#This Row],[Quantity]]*Sheet1[[#This Row],[UnitPrice]])=(Sheet1[[#This Row],[TotalPrice]]), "True", "False")</f>
        <v>True</v>
      </c>
      <c r="P4" t="str">
        <f>IF((Sheet1[[#This Row],[ItemsInCart]]&gt;=Sheet1[[#This Row],[Quantity]]), "Good", "Bad")</f>
        <v>Good</v>
      </c>
      <c r="Q4" t="str">
        <f t="shared" si="0"/>
        <v>OK</v>
      </c>
      <c r="R4" t="str">
        <f t="shared" si="1"/>
        <v>BAD</v>
      </c>
      <c r="S4">
        <f t="shared" si="2"/>
        <v>0</v>
      </c>
      <c r="T4">
        <f t="shared" si="3"/>
        <v>1</v>
      </c>
      <c r="U4" t="str">
        <f t="shared" si="4"/>
        <v>REVIEW_RETURN</v>
      </c>
      <c r="X4">
        <f>COUNTIF(Q:Q, "BAD")</f>
        <v>0</v>
      </c>
    </row>
    <row r="5" spans="1:24">
      <c r="A5" t="s">
        <v>17</v>
      </c>
      <c r="B5" t="s">
        <v>4286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 t="str">
        <f>IF((Sheet1[[#This Row],[Quantity]]*Sheet1[[#This Row],[UnitPrice]])=(Sheet1[[#This Row],[TotalPrice]]), "True", "False")</f>
        <v>True</v>
      </c>
      <c r="P5" t="str">
        <f>IF((Sheet1[[#This Row],[ItemsInCart]]&gt;=Sheet1[[#This Row],[Quantity]]), "Good", "Bad")</f>
        <v>Good</v>
      </c>
      <c r="Q5" t="str">
        <f t="shared" si="0"/>
        <v>OK</v>
      </c>
      <c r="R5" t="str">
        <f t="shared" si="1"/>
        <v>GOOD</v>
      </c>
      <c r="S5">
        <f t="shared" si="2"/>
        <v>0</v>
      </c>
      <c r="T5">
        <f t="shared" si="3"/>
        <v>0</v>
      </c>
      <c r="U5" t="str">
        <f t="shared" si="4"/>
        <v>OK</v>
      </c>
      <c r="X5">
        <f>COUNTIF(R:R, "INVALID")</f>
        <v>0</v>
      </c>
    </row>
    <row r="6" spans="1:24">
      <c r="A6" t="s">
        <v>18</v>
      </c>
      <c r="B6" t="s">
        <v>4287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 t="str">
        <f>IF((Sheet1[[#This Row],[Quantity]]*Sheet1[[#This Row],[UnitPrice]])=(Sheet1[[#This Row],[TotalPrice]]), "True", "False")</f>
        <v>True</v>
      </c>
      <c r="P6" t="str">
        <f>IF((Sheet1[[#This Row],[ItemsInCart]]&gt;=Sheet1[[#This Row],[Quantity]]), "Good", "Bad")</f>
        <v>Good</v>
      </c>
      <c r="Q6" t="str">
        <f t="shared" si="0"/>
        <v>OK</v>
      </c>
      <c r="R6" t="str">
        <f t="shared" si="1"/>
        <v>GOOD</v>
      </c>
      <c r="S6">
        <f t="shared" si="2"/>
        <v>0</v>
      </c>
      <c r="T6">
        <f t="shared" si="3"/>
        <v>0</v>
      </c>
      <c r="U6" t="str">
        <f t="shared" si="4"/>
        <v>OK</v>
      </c>
      <c r="X6">
        <f>COUNTIF(U:U,"Documented")</f>
        <v>237</v>
      </c>
    </row>
    <row r="7" spans="1:24">
      <c r="A7" t="s">
        <v>19</v>
      </c>
      <c r="B7" t="s">
        <v>4288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 t="str">
        <f>IF((Sheet1[[#This Row],[Quantity]]*Sheet1[[#This Row],[UnitPrice]])=(Sheet1[[#This Row],[TotalPrice]]), "True", "False")</f>
        <v>True</v>
      </c>
      <c r="P7" t="str">
        <f>IF((Sheet1[[#This Row],[ItemsInCart]]&gt;=Sheet1[[#This Row],[Quantity]]), "Good", "Bad")</f>
        <v>Good</v>
      </c>
      <c r="Q7" t="str">
        <f t="shared" si="0"/>
        <v>OK</v>
      </c>
      <c r="R7" t="str">
        <f t="shared" si="1"/>
        <v>GOOD</v>
      </c>
      <c r="S7">
        <f t="shared" si="2"/>
        <v>0</v>
      </c>
      <c r="T7">
        <f t="shared" si="3"/>
        <v>0</v>
      </c>
      <c r="U7" t="str">
        <f t="shared" si="4"/>
        <v>OK</v>
      </c>
      <c r="X7">
        <f>COUNTIF(U:U, "REVIEW_RETURN")</f>
        <v>250</v>
      </c>
    </row>
    <row r="8" spans="1:24">
      <c r="A8" t="s">
        <v>20</v>
      </c>
      <c r="B8" t="s">
        <v>4289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 t="str">
        <f>IF((Sheet1[[#This Row],[Quantity]]*Sheet1[[#This Row],[UnitPrice]])=(Sheet1[[#This Row],[TotalPrice]]), "True", "False")</f>
        <v>True</v>
      </c>
      <c r="P8" t="str">
        <f>IF((Sheet1[[#This Row],[ItemsInCart]]&gt;=Sheet1[[#This Row],[Quantity]]), "Good", "Bad")</f>
        <v>Good</v>
      </c>
      <c r="Q8" t="str">
        <f t="shared" si="0"/>
        <v>OK</v>
      </c>
      <c r="R8" t="str">
        <f t="shared" si="1"/>
        <v>GOOD</v>
      </c>
      <c r="S8">
        <f t="shared" si="2"/>
        <v>0</v>
      </c>
      <c r="T8">
        <f t="shared" si="3"/>
        <v>0</v>
      </c>
      <c r="U8" t="str">
        <f t="shared" si="4"/>
        <v>OK</v>
      </c>
      <c r="X8">
        <f>SUM(X6:X7)</f>
        <v>487</v>
      </c>
    </row>
    <row r="9" spans="1:24">
      <c r="A9" t="s">
        <v>21</v>
      </c>
      <c r="B9" t="s">
        <v>4290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 t="str">
        <f>IF((Sheet1[[#This Row],[Quantity]]*Sheet1[[#This Row],[UnitPrice]])=(Sheet1[[#This Row],[TotalPrice]]), "True", "False")</f>
        <v>True</v>
      </c>
      <c r="P9" t="str">
        <f>IF((Sheet1[[#This Row],[ItemsInCart]]&gt;=Sheet1[[#This Row],[Quantity]]), "Good", "Bad")</f>
        <v>Good</v>
      </c>
      <c r="Q9" t="str">
        <f t="shared" si="0"/>
        <v>OK</v>
      </c>
      <c r="R9" t="str">
        <f t="shared" si="1"/>
        <v>GOOD</v>
      </c>
      <c r="S9">
        <f t="shared" si="2"/>
        <v>0</v>
      </c>
      <c r="T9">
        <f t="shared" si="3"/>
        <v>0</v>
      </c>
      <c r="U9" t="str">
        <f t="shared" si="4"/>
        <v>OK</v>
      </c>
    </row>
    <row r="10" spans="1:24">
      <c r="A10" t="s">
        <v>22</v>
      </c>
      <c r="B10" t="s">
        <v>4291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4961</v>
      </c>
      <c r="M10" t="s">
        <v>4280</v>
      </c>
      <c r="N10">
        <v>268.56</v>
      </c>
      <c r="O10" t="str">
        <f>IF((Sheet1[[#This Row],[Quantity]]*Sheet1[[#This Row],[UnitPrice]])=(Sheet1[[#This Row],[TotalPrice]]), "True", "False")</f>
        <v>True</v>
      </c>
      <c r="P10" t="str">
        <f>IF((Sheet1[[#This Row],[ItemsInCart]]&gt;=Sheet1[[#This Row],[Quantity]]), "Good", "Bad")</f>
        <v>Good</v>
      </c>
      <c r="Q10" t="str">
        <f t="shared" si="0"/>
        <v>OK</v>
      </c>
      <c r="R10" t="str">
        <f t="shared" si="1"/>
        <v>BAD</v>
      </c>
      <c r="S10">
        <f t="shared" si="2"/>
        <v>0</v>
      </c>
      <c r="T10">
        <f t="shared" si="3"/>
        <v>1</v>
      </c>
      <c r="U10" t="str">
        <f t="shared" si="4"/>
        <v>REVIEW_RETURN</v>
      </c>
    </row>
    <row r="11" spans="1:24">
      <c r="A11" t="s">
        <v>23</v>
      </c>
      <c r="B11" t="s">
        <v>4292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 t="str">
        <f>IF((Sheet1[[#This Row],[Quantity]]*Sheet1[[#This Row],[UnitPrice]])=(Sheet1[[#This Row],[TotalPrice]]), "True", "False")</f>
        <v>True</v>
      </c>
      <c r="P11" t="str">
        <f>IF((Sheet1[[#This Row],[ItemsInCart]]&gt;=Sheet1[[#This Row],[Quantity]]), "Good", "Bad")</f>
        <v>Good</v>
      </c>
      <c r="Q11" t="str">
        <f t="shared" si="0"/>
        <v>OK</v>
      </c>
      <c r="R11" t="str">
        <f t="shared" si="1"/>
        <v>GOOD</v>
      </c>
      <c r="S11">
        <f t="shared" si="2"/>
        <v>0</v>
      </c>
      <c r="T11">
        <f t="shared" si="3"/>
        <v>0</v>
      </c>
      <c r="U11" t="str">
        <f t="shared" si="4"/>
        <v>OK</v>
      </c>
    </row>
    <row r="12" spans="1:24">
      <c r="A12" t="s">
        <v>24</v>
      </c>
      <c r="B12" t="s">
        <v>4293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 t="str">
        <f>IF((Sheet1[[#This Row],[Quantity]]*Sheet1[[#This Row],[UnitPrice]])=(Sheet1[[#This Row],[TotalPrice]]), "True", "False")</f>
        <v>True</v>
      </c>
      <c r="P12" t="str">
        <f>IF((Sheet1[[#This Row],[ItemsInCart]]&gt;=Sheet1[[#This Row],[Quantity]]), "Good", "Bad")</f>
        <v>Good</v>
      </c>
      <c r="Q12" t="str">
        <f t="shared" si="0"/>
        <v>OK</v>
      </c>
      <c r="R12" t="str">
        <f t="shared" si="1"/>
        <v>GOOD</v>
      </c>
      <c r="S12">
        <f t="shared" si="2"/>
        <v>0</v>
      </c>
      <c r="T12">
        <f t="shared" si="3"/>
        <v>0</v>
      </c>
      <c r="U12" t="str">
        <f t="shared" si="4"/>
        <v>OK</v>
      </c>
    </row>
    <row r="13" spans="1:24">
      <c r="A13" t="s">
        <v>25</v>
      </c>
      <c r="B13" t="s">
        <v>4294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 t="str">
        <f>IF((Sheet1[[#This Row],[Quantity]]*Sheet1[[#This Row],[UnitPrice]])=(Sheet1[[#This Row],[TotalPrice]]), "True", "False")</f>
        <v>True</v>
      </c>
      <c r="P13" t="str">
        <f>IF((Sheet1[[#This Row],[ItemsInCart]]&gt;=Sheet1[[#This Row],[Quantity]]), "Good", "Bad")</f>
        <v>Good</v>
      </c>
      <c r="Q13" t="str">
        <f t="shared" si="0"/>
        <v>OK</v>
      </c>
      <c r="R13" t="str">
        <f t="shared" si="1"/>
        <v>GOOD</v>
      </c>
      <c r="S13">
        <f t="shared" si="2"/>
        <v>0</v>
      </c>
      <c r="T13">
        <f t="shared" si="3"/>
        <v>0</v>
      </c>
      <c r="U13" t="str">
        <f t="shared" si="4"/>
        <v>OK</v>
      </c>
    </row>
    <row r="14" spans="1:24">
      <c r="A14" t="s">
        <v>26</v>
      </c>
      <c r="B14" t="s">
        <v>4295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 t="str">
        <f>IF((Sheet1[[#This Row],[Quantity]]*Sheet1[[#This Row],[UnitPrice]])=(Sheet1[[#This Row],[TotalPrice]]), "True", "False")</f>
        <v>True</v>
      </c>
      <c r="P14" t="str">
        <f>IF((Sheet1[[#This Row],[ItemsInCart]]&gt;=Sheet1[[#This Row],[Quantity]]), "Good", "Bad")</f>
        <v>Good</v>
      </c>
      <c r="Q14" t="str">
        <f t="shared" si="0"/>
        <v>OK</v>
      </c>
      <c r="R14" t="str">
        <f t="shared" si="1"/>
        <v>BAD</v>
      </c>
      <c r="S14">
        <f t="shared" si="2"/>
        <v>0</v>
      </c>
      <c r="T14">
        <f t="shared" si="3"/>
        <v>1</v>
      </c>
      <c r="U14" t="str">
        <f t="shared" si="4"/>
        <v>DOCUMENTED</v>
      </c>
    </row>
    <row r="15" spans="1:24">
      <c r="A15" t="s">
        <v>27</v>
      </c>
      <c r="B15" t="s">
        <v>4296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 t="str">
        <f>IF((Sheet1[[#This Row],[Quantity]]*Sheet1[[#This Row],[UnitPrice]])=(Sheet1[[#This Row],[TotalPrice]]), "True", "False")</f>
        <v>True</v>
      </c>
      <c r="P15" t="str">
        <f>IF((Sheet1[[#This Row],[ItemsInCart]]&gt;=Sheet1[[#This Row],[Quantity]]), "Good", "Bad")</f>
        <v>Good</v>
      </c>
      <c r="Q15" t="str">
        <f t="shared" si="0"/>
        <v>OK</v>
      </c>
      <c r="R15" t="str">
        <f t="shared" si="1"/>
        <v>GOOD</v>
      </c>
      <c r="S15">
        <f t="shared" si="2"/>
        <v>0</v>
      </c>
      <c r="T15">
        <f t="shared" si="3"/>
        <v>0</v>
      </c>
      <c r="U15" t="str">
        <f t="shared" si="4"/>
        <v>OK</v>
      </c>
    </row>
    <row r="16" spans="1:24">
      <c r="A16" t="s">
        <v>28</v>
      </c>
      <c r="B16" t="s">
        <v>4297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 t="str">
        <f>IF((Sheet1[[#This Row],[Quantity]]*Sheet1[[#This Row],[UnitPrice]])=(Sheet1[[#This Row],[TotalPrice]]), "True", "False")</f>
        <v>True</v>
      </c>
      <c r="P16" t="str">
        <f>IF((Sheet1[[#This Row],[ItemsInCart]]&gt;=Sheet1[[#This Row],[Quantity]]), "Good", "Bad")</f>
        <v>Good</v>
      </c>
      <c r="Q16" t="str">
        <f t="shared" si="0"/>
        <v>OK</v>
      </c>
      <c r="R16" t="str">
        <f t="shared" si="1"/>
        <v>BAD</v>
      </c>
      <c r="S16">
        <f t="shared" si="2"/>
        <v>0</v>
      </c>
      <c r="T16">
        <f t="shared" si="3"/>
        <v>1</v>
      </c>
      <c r="U16" t="str">
        <f t="shared" si="4"/>
        <v>DOCUMENTED</v>
      </c>
    </row>
    <row r="17" spans="1:21">
      <c r="A17" t="s">
        <v>29</v>
      </c>
      <c r="B17" t="s">
        <v>4298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4961</v>
      </c>
      <c r="M17" t="s">
        <v>4282</v>
      </c>
      <c r="N17">
        <v>473.96</v>
      </c>
      <c r="O17" t="str">
        <f>IF((Sheet1[[#This Row],[Quantity]]*Sheet1[[#This Row],[UnitPrice]])=(Sheet1[[#This Row],[TotalPrice]]), "True", "False")</f>
        <v>True</v>
      </c>
      <c r="P17" t="str">
        <f>IF((Sheet1[[#This Row],[ItemsInCart]]&gt;=Sheet1[[#This Row],[Quantity]]), "Good", "Bad")</f>
        <v>Good</v>
      </c>
      <c r="Q17" t="str">
        <f t="shared" si="0"/>
        <v>OK</v>
      </c>
      <c r="R17" t="str">
        <f t="shared" si="1"/>
        <v>GOOD</v>
      </c>
      <c r="S17">
        <f t="shared" si="2"/>
        <v>0</v>
      </c>
      <c r="T17">
        <f t="shared" si="3"/>
        <v>0</v>
      </c>
      <c r="U17" t="str">
        <f t="shared" si="4"/>
        <v>OK</v>
      </c>
    </row>
    <row r="18" spans="1:21">
      <c r="A18" t="s">
        <v>30</v>
      </c>
      <c r="B18" t="s">
        <v>4299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 t="str">
        <f>IF((Sheet1[[#This Row],[Quantity]]*Sheet1[[#This Row],[UnitPrice]])=(Sheet1[[#This Row],[TotalPrice]]), "True", "False")</f>
        <v>True</v>
      </c>
      <c r="P18" t="str">
        <f>IF((Sheet1[[#This Row],[ItemsInCart]]&gt;=Sheet1[[#This Row],[Quantity]]), "Good", "Bad")</f>
        <v>Good</v>
      </c>
      <c r="Q18" t="str">
        <f t="shared" si="0"/>
        <v>OK</v>
      </c>
      <c r="R18" t="str">
        <f t="shared" si="1"/>
        <v>BAD</v>
      </c>
      <c r="S18">
        <f t="shared" si="2"/>
        <v>0</v>
      </c>
      <c r="T18">
        <f t="shared" si="3"/>
        <v>1</v>
      </c>
      <c r="U18" t="str">
        <f t="shared" si="4"/>
        <v>DOCUMENTED</v>
      </c>
    </row>
    <row r="19" spans="1:21">
      <c r="A19" t="s">
        <v>31</v>
      </c>
      <c r="B19" t="s">
        <v>4300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4961</v>
      </c>
      <c r="M19" t="s">
        <v>4279</v>
      </c>
      <c r="N19">
        <v>423.4</v>
      </c>
      <c r="O19" t="str">
        <f>IF((Sheet1[[#This Row],[Quantity]]*Sheet1[[#This Row],[UnitPrice]])=(Sheet1[[#This Row],[TotalPrice]]), "True", "False")</f>
        <v>True</v>
      </c>
      <c r="P19" t="str">
        <f>IF((Sheet1[[#This Row],[ItemsInCart]]&gt;=Sheet1[[#This Row],[Quantity]]), "Good", "Bad")</f>
        <v>Good</v>
      </c>
      <c r="Q19" t="str">
        <f t="shared" si="0"/>
        <v>OK</v>
      </c>
      <c r="R19" t="str">
        <f t="shared" si="1"/>
        <v>GOOD</v>
      </c>
      <c r="S19">
        <f t="shared" si="2"/>
        <v>0</v>
      </c>
      <c r="T19">
        <f t="shared" si="3"/>
        <v>0</v>
      </c>
      <c r="U19" t="str">
        <f t="shared" si="4"/>
        <v>OK</v>
      </c>
    </row>
    <row r="20" spans="1:21">
      <c r="A20" t="s">
        <v>32</v>
      </c>
      <c r="B20" t="s">
        <v>4301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 t="str">
        <f>IF((Sheet1[[#This Row],[Quantity]]*Sheet1[[#This Row],[UnitPrice]])=(Sheet1[[#This Row],[TotalPrice]]), "True", "False")</f>
        <v>True</v>
      </c>
      <c r="P20" t="str">
        <f>IF((Sheet1[[#This Row],[ItemsInCart]]&gt;=Sheet1[[#This Row],[Quantity]]), "Good", "Bad")</f>
        <v>Good</v>
      </c>
      <c r="Q20" t="str">
        <f t="shared" si="0"/>
        <v>OK</v>
      </c>
      <c r="R20" t="str">
        <f t="shared" si="1"/>
        <v>BAD</v>
      </c>
      <c r="S20">
        <f t="shared" si="2"/>
        <v>0</v>
      </c>
      <c r="T20">
        <f t="shared" si="3"/>
        <v>1</v>
      </c>
      <c r="U20" t="str">
        <f t="shared" si="4"/>
        <v>DOCUMENTED</v>
      </c>
    </row>
    <row r="21" spans="1:21">
      <c r="A21" t="s">
        <v>33</v>
      </c>
      <c r="B21" t="s">
        <v>4302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 t="str">
        <f>IF((Sheet1[[#This Row],[Quantity]]*Sheet1[[#This Row],[UnitPrice]])=(Sheet1[[#This Row],[TotalPrice]]), "True", "False")</f>
        <v>True</v>
      </c>
      <c r="P21" t="str">
        <f>IF((Sheet1[[#This Row],[ItemsInCart]]&gt;=Sheet1[[#This Row],[Quantity]]), "Good", "Bad")</f>
        <v>Good</v>
      </c>
      <c r="Q21" t="str">
        <f t="shared" si="0"/>
        <v>OK</v>
      </c>
      <c r="R21" t="str">
        <f t="shared" si="1"/>
        <v>GOOD</v>
      </c>
      <c r="S21">
        <f t="shared" si="2"/>
        <v>0</v>
      </c>
      <c r="T21">
        <f t="shared" si="3"/>
        <v>0</v>
      </c>
      <c r="U21" t="str">
        <f t="shared" si="4"/>
        <v>OK</v>
      </c>
    </row>
    <row r="22" spans="1:21">
      <c r="A22" t="s">
        <v>34</v>
      </c>
      <c r="B22" t="s">
        <v>4303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 t="str">
        <f>IF((Sheet1[[#This Row],[Quantity]]*Sheet1[[#This Row],[UnitPrice]])=(Sheet1[[#This Row],[TotalPrice]]), "True", "False")</f>
        <v>True</v>
      </c>
      <c r="P22" t="str">
        <f>IF((Sheet1[[#This Row],[ItemsInCart]]&gt;=Sheet1[[#This Row],[Quantity]]), "Good", "Bad")</f>
        <v>Good</v>
      </c>
      <c r="Q22" t="str">
        <f t="shared" si="0"/>
        <v>OK</v>
      </c>
      <c r="R22" t="str">
        <f t="shared" si="1"/>
        <v>BAD</v>
      </c>
      <c r="S22">
        <f t="shared" si="2"/>
        <v>0</v>
      </c>
      <c r="T22">
        <f t="shared" si="3"/>
        <v>1</v>
      </c>
      <c r="U22" t="str">
        <f t="shared" si="4"/>
        <v>DOCUMENTED</v>
      </c>
    </row>
    <row r="23" spans="1:21">
      <c r="A23" t="s">
        <v>35</v>
      </c>
      <c r="B23" t="s">
        <v>4304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4961</v>
      </c>
      <c r="M23" t="s">
        <v>4282</v>
      </c>
      <c r="N23">
        <v>1371.8</v>
      </c>
      <c r="O23" t="str">
        <f>IF((Sheet1[[#This Row],[Quantity]]*Sheet1[[#This Row],[UnitPrice]])=(Sheet1[[#This Row],[TotalPrice]]), "True", "False")</f>
        <v>True</v>
      </c>
      <c r="P23" t="str">
        <f>IF((Sheet1[[#This Row],[ItemsInCart]]&gt;=Sheet1[[#This Row],[Quantity]]), "Good", "Bad")</f>
        <v>Good</v>
      </c>
      <c r="Q23" t="str">
        <f t="shared" si="0"/>
        <v>OK</v>
      </c>
      <c r="R23" t="str">
        <f t="shared" si="1"/>
        <v>GOOD</v>
      </c>
      <c r="S23">
        <f t="shared" si="2"/>
        <v>0</v>
      </c>
      <c r="T23">
        <f t="shared" si="3"/>
        <v>0</v>
      </c>
      <c r="U23" t="str">
        <f t="shared" si="4"/>
        <v>OK</v>
      </c>
    </row>
    <row r="24" spans="1:21">
      <c r="A24" t="s">
        <v>36</v>
      </c>
      <c r="B24" t="s">
        <v>4305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 t="str">
        <f>IF((Sheet1[[#This Row],[Quantity]]*Sheet1[[#This Row],[UnitPrice]])=(Sheet1[[#This Row],[TotalPrice]]), "True", "False")</f>
        <v>True</v>
      </c>
      <c r="P24" t="str">
        <f>IF((Sheet1[[#This Row],[ItemsInCart]]&gt;=Sheet1[[#This Row],[Quantity]]), "Good", "Bad")</f>
        <v>Good</v>
      </c>
      <c r="Q24" t="str">
        <f t="shared" si="0"/>
        <v>OK</v>
      </c>
      <c r="R24" t="str">
        <f t="shared" si="1"/>
        <v>BAD</v>
      </c>
      <c r="S24">
        <f t="shared" si="2"/>
        <v>0</v>
      </c>
      <c r="T24">
        <f t="shared" si="3"/>
        <v>1</v>
      </c>
      <c r="U24" t="str">
        <f t="shared" si="4"/>
        <v>DOCUMENTED</v>
      </c>
    </row>
    <row r="25" spans="1:21">
      <c r="A25" t="s">
        <v>37</v>
      </c>
      <c r="B25" t="s">
        <v>4306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 t="str">
        <f>IF((Sheet1[[#This Row],[Quantity]]*Sheet1[[#This Row],[UnitPrice]])=(Sheet1[[#This Row],[TotalPrice]]), "True", "False")</f>
        <v>True</v>
      </c>
      <c r="P25" t="str">
        <f>IF((Sheet1[[#This Row],[ItemsInCart]]&gt;=Sheet1[[#This Row],[Quantity]]), "Good", "Bad")</f>
        <v>Good</v>
      </c>
      <c r="Q25" t="str">
        <f t="shared" si="0"/>
        <v>OK</v>
      </c>
      <c r="R25" t="str">
        <f t="shared" si="1"/>
        <v>BAD</v>
      </c>
      <c r="S25">
        <f t="shared" si="2"/>
        <v>0</v>
      </c>
      <c r="T25">
        <f t="shared" si="3"/>
        <v>1</v>
      </c>
      <c r="U25" t="str">
        <f t="shared" si="4"/>
        <v>REVIEW_RETURN</v>
      </c>
    </row>
    <row r="26" spans="1:21">
      <c r="A26" t="s">
        <v>38</v>
      </c>
      <c r="B26" t="s">
        <v>4307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 t="str">
        <f>IF((Sheet1[[#This Row],[Quantity]]*Sheet1[[#This Row],[UnitPrice]])=(Sheet1[[#This Row],[TotalPrice]]), "True", "False")</f>
        <v>True</v>
      </c>
      <c r="P26" t="str">
        <f>IF((Sheet1[[#This Row],[ItemsInCart]]&gt;=Sheet1[[#This Row],[Quantity]]), "Good", "Bad")</f>
        <v>Good</v>
      </c>
      <c r="Q26" t="str">
        <f t="shared" si="0"/>
        <v>OK</v>
      </c>
      <c r="R26" t="str">
        <f t="shared" si="1"/>
        <v>GOOD</v>
      </c>
      <c r="S26">
        <f t="shared" si="2"/>
        <v>0</v>
      </c>
      <c r="T26">
        <f t="shared" si="3"/>
        <v>0</v>
      </c>
      <c r="U26" t="str">
        <f t="shared" si="4"/>
        <v>OK</v>
      </c>
    </row>
    <row r="27" spans="1:21">
      <c r="A27" t="s">
        <v>39</v>
      </c>
      <c r="B27" t="s">
        <v>4308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 t="str">
        <f>IF((Sheet1[[#This Row],[Quantity]]*Sheet1[[#This Row],[UnitPrice]])=(Sheet1[[#This Row],[TotalPrice]]), "True", "False")</f>
        <v>True</v>
      </c>
      <c r="P27" t="str">
        <f>IF((Sheet1[[#This Row],[ItemsInCart]]&gt;=Sheet1[[#This Row],[Quantity]]), "Good", "Bad")</f>
        <v>Good</v>
      </c>
      <c r="Q27" t="str">
        <f t="shared" si="0"/>
        <v>OK</v>
      </c>
      <c r="R27" t="str">
        <f t="shared" si="1"/>
        <v>GOOD</v>
      </c>
      <c r="S27">
        <f t="shared" si="2"/>
        <v>0</v>
      </c>
      <c r="T27">
        <f t="shared" si="3"/>
        <v>0</v>
      </c>
      <c r="U27" t="str">
        <f t="shared" si="4"/>
        <v>OK</v>
      </c>
    </row>
    <row r="28" spans="1:21">
      <c r="A28" t="s">
        <v>40</v>
      </c>
      <c r="B28" t="s">
        <v>4309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4961</v>
      </c>
      <c r="M28" t="s">
        <v>4279</v>
      </c>
      <c r="N28">
        <v>297.75</v>
      </c>
      <c r="O28" t="str">
        <f>IF((Sheet1[[#This Row],[Quantity]]*Sheet1[[#This Row],[UnitPrice]])=(Sheet1[[#This Row],[TotalPrice]]), "True", "False")</f>
        <v>True</v>
      </c>
      <c r="P28" t="str">
        <f>IF((Sheet1[[#This Row],[ItemsInCart]]&gt;=Sheet1[[#This Row],[Quantity]]), "Good", "Bad")</f>
        <v>Good</v>
      </c>
      <c r="Q28" t="str">
        <f t="shared" si="0"/>
        <v>OK</v>
      </c>
      <c r="R28" t="str">
        <f t="shared" si="1"/>
        <v>GOOD</v>
      </c>
      <c r="S28">
        <f t="shared" si="2"/>
        <v>0</v>
      </c>
      <c r="T28">
        <f t="shared" si="3"/>
        <v>0</v>
      </c>
      <c r="U28" t="str">
        <f t="shared" si="4"/>
        <v>OK</v>
      </c>
    </row>
    <row r="29" spans="1:21">
      <c r="A29" t="s">
        <v>41</v>
      </c>
      <c r="B29" t="s">
        <v>4310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 t="str">
        <f>IF((Sheet1[[#This Row],[Quantity]]*Sheet1[[#This Row],[UnitPrice]])=(Sheet1[[#This Row],[TotalPrice]]), "True", "False")</f>
        <v>True</v>
      </c>
      <c r="P29" t="str">
        <f>IF((Sheet1[[#This Row],[ItemsInCart]]&gt;=Sheet1[[#This Row],[Quantity]]), "Good", "Bad")</f>
        <v>Good</v>
      </c>
      <c r="Q29" t="str">
        <f t="shared" si="0"/>
        <v>OK</v>
      </c>
      <c r="R29" t="str">
        <f t="shared" si="1"/>
        <v>GOOD</v>
      </c>
      <c r="S29">
        <f t="shared" si="2"/>
        <v>0</v>
      </c>
      <c r="T29">
        <f t="shared" si="3"/>
        <v>0</v>
      </c>
      <c r="U29" t="str">
        <f t="shared" si="4"/>
        <v>OK</v>
      </c>
    </row>
    <row r="30" spans="1:21">
      <c r="A30" t="s">
        <v>42</v>
      </c>
      <c r="B30" t="s">
        <v>4292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4961</v>
      </c>
      <c r="M30" t="s">
        <v>4280</v>
      </c>
      <c r="N30">
        <v>640.28</v>
      </c>
      <c r="O30" t="str">
        <f>IF((Sheet1[[#This Row],[Quantity]]*Sheet1[[#This Row],[UnitPrice]])=(Sheet1[[#This Row],[TotalPrice]]), "True", "False")</f>
        <v>True</v>
      </c>
      <c r="P30" t="str">
        <f>IF((Sheet1[[#This Row],[ItemsInCart]]&gt;=Sheet1[[#This Row],[Quantity]]), "Good", "Bad")</f>
        <v>Good</v>
      </c>
      <c r="Q30" t="str">
        <f t="shared" si="0"/>
        <v>OK</v>
      </c>
      <c r="R30" t="str">
        <f t="shared" si="1"/>
        <v>BAD</v>
      </c>
      <c r="S30">
        <f t="shared" si="2"/>
        <v>0</v>
      </c>
      <c r="T30">
        <f t="shared" si="3"/>
        <v>1</v>
      </c>
      <c r="U30" t="str">
        <f t="shared" si="4"/>
        <v>DOCUMENTED</v>
      </c>
    </row>
    <row r="31" spans="1:21">
      <c r="A31" t="s">
        <v>43</v>
      </c>
      <c r="B31" t="s">
        <v>4311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 t="str">
        <f>IF((Sheet1[[#This Row],[Quantity]]*Sheet1[[#This Row],[UnitPrice]])=(Sheet1[[#This Row],[TotalPrice]]), "True", "False")</f>
        <v>True</v>
      </c>
      <c r="P31" t="str">
        <f>IF((Sheet1[[#This Row],[ItemsInCart]]&gt;=Sheet1[[#This Row],[Quantity]]), "Good", "Bad")</f>
        <v>Good</v>
      </c>
      <c r="Q31" t="str">
        <f t="shared" si="0"/>
        <v>OK</v>
      </c>
      <c r="R31" t="str">
        <f t="shared" si="1"/>
        <v>GOOD</v>
      </c>
      <c r="S31">
        <f t="shared" si="2"/>
        <v>0</v>
      </c>
      <c r="T31">
        <f t="shared" si="3"/>
        <v>0</v>
      </c>
      <c r="U31" t="str">
        <f t="shared" si="4"/>
        <v>OK</v>
      </c>
    </row>
    <row r="32" spans="1:21">
      <c r="A32" t="s">
        <v>44</v>
      </c>
      <c r="B32" t="s">
        <v>4312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 t="str">
        <f>IF((Sheet1[[#This Row],[Quantity]]*Sheet1[[#This Row],[UnitPrice]])=(Sheet1[[#This Row],[TotalPrice]]), "True", "False")</f>
        <v>True</v>
      </c>
      <c r="P32" t="str">
        <f>IF((Sheet1[[#This Row],[ItemsInCart]]&gt;=Sheet1[[#This Row],[Quantity]]), "Good", "Bad")</f>
        <v>Good</v>
      </c>
      <c r="Q32" t="str">
        <f t="shared" si="0"/>
        <v>OK</v>
      </c>
      <c r="R32" t="str">
        <f t="shared" si="1"/>
        <v>BAD</v>
      </c>
      <c r="S32">
        <f t="shared" si="2"/>
        <v>0</v>
      </c>
      <c r="T32">
        <f t="shared" si="3"/>
        <v>1</v>
      </c>
      <c r="U32" t="str">
        <f t="shared" si="4"/>
        <v>DOCUMENTED</v>
      </c>
    </row>
    <row r="33" spans="1:21">
      <c r="A33" t="s">
        <v>45</v>
      </c>
      <c r="B33" t="s">
        <v>4313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4961</v>
      </c>
      <c r="M33" t="s">
        <v>4281</v>
      </c>
      <c r="N33">
        <v>1500.24</v>
      </c>
      <c r="O33" t="str">
        <f>IF((Sheet1[[#This Row],[Quantity]]*Sheet1[[#This Row],[UnitPrice]])=(Sheet1[[#This Row],[TotalPrice]]), "True", "False")</f>
        <v>True</v>
      </c>
      <c r="P33" t="str">
        <f>IF((Sheet1[[#This Row],[ItemsInCart]]&gt;=Sheet1[[#This Row],[Quantity]]), "Good", "Bad")</f>
        <v>Good</v>
      </c>
      <c r="Q33" t="str">
        <f t="shared" si="0"/>
        <v>OK</v>
      </c>
      <c r="R33" t="str">
        <f t="shared" si="1"/>
        <v>GOOD</v>
      </c>
      <c r="S33">
        <f t="shared" si="2"/>
        <v>0</v>
      </c>
      <c r="T33">
        <f t="shared" si="3"/>
        <v>0</v>
      </c>
      <c r="U33" t="str">
        <f t="shared" si="4"/>
        <v>OK</v>
      </c>
    </row>
    <row r="34" spans="1:21">
      <c r="A34" t="s">
        <v>46</v>
      </c>
      <c r="B34" t="s">
        <v>4314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4961</v>
      </c>
      <c r="M34" t="s">
        <v>4280</v>
      </c>
      <c r="N34">
        <v>2683.6</v>
      </c>
      <c r="O34" t="str">
        <f>IF((Sheet1[[#This Row],[Quantity]]*Sheet1[[#This Row],[UnitPrice]])=(Sheet1[[#This Row],[TotalPrice]]), "True", "False")</f>
        <v>True</v>
      </c>
      <c r="P34" t="str">
        <f>IF((Sheet1[[#This Row],[ItemsInCart]]&gt;=Sheet1[[#This Row],[Quantity]]), "Good", "Bad")</f>
        <v>Good</v>
      </c>
      <c r="Q34" t="str">
        <f t="shared" si="0"/>
        <v>OK</v>
      </c>
      <c r="R34" t="str">
        <f t="shared" si="1"/>
        <v>GOOD</v>
      </c>
      <c r="S34">
        <f t="shared" si="2"/>
        <v>0</v>
      </c>
      <c r="T34">
        <f t="shared" si="3"/>
        <v>0</v>
      </c>
      <c r="U34" t="str">
        <f t="shared" si="4"/>
        <v>OK</v>
      </c>
    </row>
    <row r="35" spans="1:21">
      <c r="A35" t="s">
        <v>47</v>
      </c>
      <c r="B35" t="s">
        <v>4315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 t="str">
        <f>IF((Sheet1[[#This Row],[Quantity]]*Sheet1[[#This Row],[UnitPrice]])=(Sheet1[[#This Row],[TotalPrice]]), "True", "False")</f>
        <v>True</v>
      </c>
      <c r="P35" t="str">
        <f>IF((Sheet1[[#This Row],[ItemsInCart]]&gt;=Sheet1[[#This Row],[Quantity]]), "Good", "Bad")</f>
        <v>Good</v>
      </c>
      <c r="Q35" t="str">
        <f t="shared" si="0"/>
        <v>OK</v>
      </c>
      <c r="R35" t="str">
        <f t="shared" si="1"/>
        <v>BAD</v>
      </c>
      <c r="S35">
        <f t="shared" si="2"/>
        <v>0</v>
      </c>
      <c r="T35">
        <f t="shared" si="3"/>
        <v>1</v>
      </c>
      <c r="U35" t="str">
        <f t="shared" si="4"/>
        <v>REVIEW_RETURN</v>
      </c>
    </row>
    <row r="36" spans="1:21">
      <c r="A36" t="s">
        <v>48</v>
      </c>
      <c r="B36" t="s">
        <v>4316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 t="str">
        <f>IF((Sheet1[[#This Row],[Quantity]]*Sheet1[[#This Row],[UnitPrice]])=(Sheet1[[#This Row],[TotalPrice]]), "True", "False")</f>
        <v>True</v>
      </c>
      <c r="P36" t="str">
        <f>IF((Sheet1[[#This Row],[ItemsInCart]]&gt;=Sheet1[[#This Row],[Quantity]]), "Good", "Bad")</f>
        <v>Good</v>
      </c>
      <c r="Q36" t="str">
        <f t="shared" si="0"/>
        <v>OK</v>
      </c>
      <c r="R36" t="str">
        <f t="shared" si="1"/>
        <v>BAD</v>
      </c>
      <c r="S36">
        <f t="shared" si="2"/>
        <v>0</v>
      </c>
      <c r="T36">
        <f t="shared" si="3"/>
        <v>1</v>
      </c>
      <c r="U36" t="str">
        <f t="shared" si="4"/>
        <v>DOCUMENTED</v>
      </c>
    </row>
    <row r="37" spans="1:21">
      <c r="A37" t="s">
        <v>49</v>
      </c>
      <c r="B37" t="s">
        <v>4317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 t="str">
        <f>IF((Sheet1[[#This Row],[Quantity]]*Sheet1[[#This Row],[UnitPrice]])=(Sheet1[[#This Row],[TotalPrice]]), "True", "False")</f>
        <v>True</v>
      </c>
      <c r="P37" t="str">
        <f>IF((Sheet1[[#This Row],[ItemsInCart]]&gt;=Sheet1[[#This Row],[Quantity]]), "Good", "Bad")</f>
        <v>Good</v>
      </c>
      <c r="Q37" t="str">
        <f t="shared" si="0"/>
        <v>OK</v>
      </c>
      <c r="R37" t="str">
        <f t="shared" si="1"/>
        <v>GOOD</v>
      </c>
      <c r="S37">
        <f t="shared" si="2"/>
        <v>0</v>
      </c>
      <c r="T37">
        <f t="shared" si="3"/>
        <v>0</v>
      </c>
      <c r="U37" t="str">
        <f t="shared" si="4"/>
        <v>OK</v>
      </c>
    </row>
    <row r="38" spans="1:21">
      <c r="A38" t="s">
        <v>50</v>
      </c>
      <c r="B38" t="s">
        <v>4287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4961</v>
      </c>
      <c r="M38" t="s">
        <v>4281</v>
      </c>
      <c r="N38">
        <v>1068.8599999999999</v>
      </c>
      <c r="O38" t="str">
        <f>IF((Sheet1[[#This Row],[Quantity]]*Sheet1[[#This Row],[UnitPrice]])=(Sheet1[[#This Row],[TotalPrice]]), "True", "False")</f>
        <v>True</v>
      </c>
      <c r="P38" t="str">
        <f>IF((Sheet1[[#This Row],[ItemsInCart]]&gt;=Sheet1[[#This Row],[Quantity]]), "Good", "Bad")</f>
        <v>Good</v>
      </c>
      <c r="Q38" t="str">
        <f t="shared" si="0"/>
        <v>OK</v>
      </c>
      <c r="R38" t="str">
        <f t="shared" si="1"/>
        <v>BAD</v>
      </c>
      <c r="S38">
        <f t="shared" si="2"/>
        <v>0</v>
      </c>
      <c r="T38">
        <f t="shared" si="3"/>
        <v>1</v>
      </c>
      <c r="U38" t="str">
        <f t="shared" si="4"/>
        <v>DOCUMENTED</v>
      </c>
    </row>
    <row r="39" spans="1:21">
      <c r="A39" t="s">
        <v>51</v>
      </c>
      <c r="B39" t="s">
        <v>4318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 t="str">
        <f>IF((Sheet1[[#This Row],[Quantity]]*Sheet1[[#This Row],[UnitPrice]])=(Sheet1[[#This Row],[TotalPrice]]), "True", "False")</f>
        <v>True</v>
      </c>
      <c r="P39" t="str">
        <f>IF((Sheet1[[#This Row],[ItemsInCart]]&gt;=Sheet1[[#This Row],[Quantity]]), "Good", "Bad")</f>
        <v>Good</v>
      </c>
      <c r="Q39" t="str">
        <f t="shared" si="0"/>
        <v>OK</v>
      </c>
      <c r="R39" t="str">
        <f t="shared" si="1"/>
        <v>GOOD</v>
      </c>
      <c r="S39">
        <f t="shared" si="2"/>
        <v>0</v>
      </c>
      <c r="T39">
        <f t="shared" si="3"/>
        <v>0</v>
      </c>
      <c r="U39" t="str">
        <f t="shared" si="4"/>
        <v>OK</v>
      </c>
    </row>
    <row r="40" spans="1:21">
      <c r="A40" t="s">
        <v>52</v>
      </c>
      <c r="B40" t="s">
        <v>4319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 t="str">
        <f>IF((Sheet1[[#This Row],[Quantity]]*Sheet1[[#This Row],[UnitPrice]])=(Sheet1[[#This Row],[TotalPrice]]), "True", "False")</f>
        <v>True</v>
      </c>
      <c r="P40" t="str">
        <f>IF((Sheet1[[#This Row],[ItemsInCart]]&gt;=Sheet1[[#This Row],[Quantity]]), "Good", "Bad")</f>
        <v>Good</v>
      </c>
      <c r="Q40" t="str">
        <f t="shared" si="0"/>
        <v>OK</v>
      </c>
      <c r="R40" t="str">
        <f t="shared" si="1"/>
        <v>GOOD</v>
      </c>
      <c r="S40">
        <f t="shared" si="2"/>
        <v>0</v>
      </c>
      <c r="T40">
        <f t="shared" si="3"/>
        <v>0</v>
      </c>
      <c r="U40" t="str">
        <f t="shared" si="4"/>
        <v>OK</v>
      </c>
    </row>
    <row r="41" spans="1:21">
      <c r="A41" t="s">
        <v>53</v>
      </c>
      <c r="B41" t="s">
        <v>4320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 t="str">
        <f>IF((Sheet1[[#This Row],[Quantity]]*Sheet1[[#This Row],[UnitPrice]])=(Sheet1[[#This Row],[TotalPrice]]), "True", "False")</f>
        <v>True</v>
      </c>
      <c r="P41" t="str">
        <f>IF((Sheet1[[#This Row],[ItemsInCart]]&gt;=Sheet1[[#This Row],[Quantity]]), "Good", "Bad")</f>
        <v>Good</v>
      </c>
      <c r="Q41" t="str">
        <f t="shared" si="0"/>
        <v>OK</v>
      </c>
      <c r="R41" t="str">
        <f t="shared" si="1"/>
        <v>GOOD</v>
      </c>
      <c r="S41">
        <f t="shared" si="2"/>
        <v>0</v>
      </c>
      <c r="T41">
        <f t="shared" si="3"/>
        <v>0</v>
      </c>
      <c r="U41" t="str">
        <f t="shared" si="4"/>
        <v>OK</v>
      </c>
    </row>
    <row r="42" spans="1:21">
      <c r="A42" t="s">
        <v>54</v>
      </c>
      <c r="B42" t="s">
        <v>4321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 t="str">
        <f>IF((Sheet1[[#This Row],[Quantity]]*Sheet1[[#This Row],[UnitPrice]])=(Sheet1[[#This Row],[TotalPrice]]), "True", "False")</f>
        <v>True</v>
      </c>
      <c r="P42" t="str">
        <f>IF((Sheet1[[#This Row],[ItemsInCart]]&gt;=Sheet1[[#This Row],[Quantity]]), "Good", "Bad")</f>
        <v>Good</v>
      </c>
      <c r="Q42" t="str">
        <f t="shared" si="0"/>
        <v>OK</v>
      </c>
      <c r="R42" t="str">
        <f t="shared" si="1"/>
        <v>GOOD</v>
      </c>
      <c r="S42">
        <f t="shared" si="2"/>
        <v>0</v>
      </c>
      <c r="T42">
        <f t="shared" si="3"/>
        <v>0</v>
      </c>
      <c r="U42" t="str">
        <f t="shared" si="4"/>
        <v>OK</v>
      </c>
    </row>
    <row r="43" spans="1:21">
      <c r="A43" t="s">
        <v>55</v>
      </c>
      <c r="B43" t="s">
        <v>4322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 t="str">
        <f>IF((Sheet1[[#This Row],[Quantity]]*Sheet1[[#This Row],[UnitPrice]])=(Sheet1[[#This Row],[TotalPrice]]), "True", "False")</f>
        <v>True</v>
      </c>
      <c r="P43" t="str">
        <f>IF((Sheet1[[#This Row],[ItemsInCart]]&gt;=Sheet1[[#This Row],[Quantity]]), "Good", "Bad")</f>
        <v>Good</v>
      </c>
      <c r="Q43" t="str">
        <f t="shared" si="0"/>
        <v>OK</v>
      </c>
      <c r="R43" t="str">
        <f t="shared" si="1"/>
        <v>BAD</v>
      </c>
      <c r="S43">
        <f t="shared" si="2"/>
        <v>0</v>
      </c>
      <c r="T43">
        <f t="shared" si="3"/>
        <v>1</v>
      </c>
      <c r="U43" t="str">
        <f t="shared" si="4"/>
        <v>DOCUMENTED</v>
      </c>
    </row>
    <row r="44" spans="1:21">
      <c r="A44" t="s">
        <v>56</v>
      </c>
      <c r="B44" t="s">
        <v>4323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4961</v>
      </c>
      <c r="M44" t="s">
        <v>4278</v>
      </c>
      <c r="N44">
        <v>303.32</v>
      </c>
      <c r="O44" t="str">
        <f>IF((Sheet1[[#This Row],[Quantity]]*Sheet1[[#This Row],[UnitPrice]])=(Sheet1[[#This Row],[TotalPrice]]), "True", "False")</f>
        <v>True</v>
      </c>
      <c r="P44" t="str">
        <f>IF((Sheet1[[#This Row],[ItemsInCart]]&gt;=Sheet1[[#This Row],[Quantity]]), "Good", "Bad")</f>
        <v>Good</v>
      </c>
      <c r="Q44" t="str">
        <f t="shared" si="0"/>
        <v>OK</v>
      </c>
      <c r="R44" t="str">
        <f t="shared" si="1"/>
        <v>BAD</v>
      </c>
      <c r="S44">
        <f t="shared" si="2"/>
        <v>0</v>
      </c>
      <c r="T44">
        <f t="shared" si="3"/>
        <v>1</v>
      </c>
      <c r="U44" t="str">
        <f t="shared" si="4"/>
        <v>REVIEW_RETURN</v>
      </c>
    </row>
    <row r="45" spans="1:21">
      <c r="A45" t="s">
        <v>57</v>
      </c>
      <c r="B45" t="s">
        <v>4324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4961</v>
      </c>
      <c r="M45" t="s">
        <v>4278</v>
      </c>
      <c r="N45">
        <v>1497.63</v>
      </c>
      <c r="O45" t="str">
        <f>IF((Sheet1[[#This Row],[Quantity]]*Sheet1[[#This Row],[UnitPrice]])=(Sheet1[[#This Row],[TotalPrice]]), "True", "False")</f>
        <v>True</v>
      </c>
      <c r="P45" t="str">
        <f>IF((Sheet1[[#This Row],[ItemsInCart]]&gt;=Sheet1[[#This Row],[Quantity]]), "Good", "Bad")</f>
        <v>Good</v>
      </c>
      <c r="Q45" t="str">
        <f t="shared" si="0"/>
        <v>OK</v>
      </c>
      <c r="R45" t="str">
        <f t="shared" si="1"/>
        <v>BAD</v>
      </c>
      <c r="S45">
        <f t="shared" si="2"/>
        <v>0</v>
      </c>
      <c r="T45">
        <f t="shared" si="3"/>
        <v>1</v>
      </c>
      <c r="U45" t="str">
        <f t="shared" si="4"/>
        <v>REVIEW_RETURN</v>
      </c>
    </row>
    <row r="46" spans="1:21">
      <c r="A46" t="s">
        <v>58</v>
      </c>
      <c r="B46" t="s">
        <v>4325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 t="str">
        <f>IF((Sheet1[[#This Row],[Quantity]]*Sheet1[[#This Row],[UnitPrice]])=(Sheet1[[#This Row],[TotalPrice]]), "True", "False")</f>
        <v>True</v>
      </c>
      <c r="P46" t="str">
        <f>IF((Sheet1[[#This Row],[ItemsInCart]]&gt;=Sheet1[[#This Row],[Quantity]]), "Good", "Bad")</f>
        <v>Good</v>
      </c>
      <c r="Q46" t="str">
        <f t="shared" si="0"/>
        <v>OK</v>
      </c>
      <c r="R46" t="str">
        <f t="shared" si="1"/>
        <v>GOOD</v>
      </c>
      <c r="S46">
        <f t="shared" si="2"/>
        <v>0</v>
      </c>
      <c r="T46">
        <f t="shared" si="3"/>
        <v>0</v>
      </c>
      <c r="U46" t="str">
        <f t="shared" si="4"/>
        <v>OK</v>
      </c>
    </row>
    <row r="47" spans="1:21">
      <c r="A47" t="s">
        <v>59</v>
      </c>
      <c r="B47" t="s">
        <v>4326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 t="str">
        <f>IF((Sheet1[[#This Row],[Quantity]]*Sheet1[[#This Row],[UnitPrice]])=(Sheet1[[#This Row],[TotalPrice]]), "True", "False")</f>
        <v>True</v>
      </c>
      <c r="P47" t="str">
        <f>IF((Sheet1[[#This Row],[ItemsInCart]]&gt;=Sheet1[[#This Row],[Quantity]]), "Good", "Bad")</f>
        <v>Good</v>
      </c>
      <c r="Q47" t="str">
        <f t="shared" si="0"/>
        <v>OK</v>
      </c>
      <c r="R47" t="str">
        <f t="shared" si="1"/>
        <v>GOOD</v>
      </c>
      <c r="S47">
        <f t="shared" si="2"/>
        <v>0</v>
      </c>
      <c r="T47">
        <f t="shared" si="3"/>
        <v>0</v>
      </c>
      <c r="U47" t="str">
        <f t="shared" si="4"/>
        <v>OK</v>
      </c>
    </row>
    <row r="48" spans="1:21">
      <c r="A48" t="s">
        <v>60</v>
      </c>
      <c r="B48" t="s">
        <v>4327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 t="str">
        <f>IF((Sheet1[[#This Row],[Quantity]]*Sheet1[[#This Row],[UnitPrice]])=(Sheet1[[#This Row],[TotalPrice]]), "True", "False")</f>
        <v>True</v>
      </c>
      <c r="P48" t="str">
        <f>IF((Sheet1[[#This Row],[ItemsInCart]]&gt;=Sheet1[[#This Row],[Quantity]]), "Good", "Bad")</f>
        <v>Good</v>
      </c>
      <c r="Q48" t="str">
        <f t="shared" si="0"/>
        <v>OK</v>
      </c>
      <c r="R48" t="str">
        <f t="shared" si="1"/>
        <v>BAD</v>
      </c>
      <c r="S48">
        <f t="shared" si="2"/>
        <v>0</v>
      </c>
      <c r="T48">
        <f t="shared" si="3"/>
        <v>1</v>
      </c>
      <c r="U48" t="str">
        <f t="shared" si="4"/>
        <v>DOCUMENTED</v>
      </c>
    </row>
    <row r="49" spans="1:21">
      <c r="A49" t="s">
        <v>61</v>
      </c>
      <c r="B49" t="s">
        <v>4328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 t="str">
        <f>IF((Sheet1[[#This Row],[Quantity]]*Sheet1[[#This Row],[UnitPrice]])=(Sheet1[[#This Row],[TotalPrice]]), "True", "False")</f>
        <v>True</v>
      </c>
      <c r="P49" t="str">
        <f>IF((Sheet1[[#This Row],[ItemsInCart]]&gt;=Sheet1[[#This Row],[Quantity]]), "Good", "Bad")</f>
        <v>Good</v>
      </c>
      <c r="Q49" t="str">
        <f t="shared" si="0"/>
        <v>OK</v>
      </c>
      <c r="R49" t="str">
        <f t="shared" si="1"/>
        <v>GOOD</v>
      </c>
      <c r="S49">
        <f t="shared" si="2"/>
        <v>0</v>
      </c>
      <c r="T49">
        <f t="shared" si="3"/>
        <v>0</v>
      </c>
      <c r="U49" t="str">
        <f t="shared" si="4"/>
        <v>OK</v>
      </c>
    </row>
    <row r="50" spans="1:21">
      <c r="A50" t="s">
        <v>62</v>
      </c>
      <c r="B50" t="s">
        <v>4329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4961</v>
      </c>
      <c r="M50" t="s">
        <v>4282</v>
      </c>
      <c r="N50">
        <v>161.54</v>
      </c>
      <c r="O50" t="str">
        <f>IF((Sheet1[[#This Row],[Quantity]]*Sheet1[[#This Row],[UnitPrice]])=(Sheet1[[#This Row],[TotalPrice]]), "True", "False")</f>
        <v>True</v>
      </c>
      <c r="P50" t="str">
        <f>IF((Sheet1[[#This Row],[ItemsInCart]]&gt;=Sheet1[[#This Row],[Quantity]]), "Good", "Bad")</f>
        <v>Good</v>
      </c>
      <c r="Q50" t="str">
        <f t="shared" si="0"/>
        <v>OK</v>
      </c>
      <c r="R50" t="str">
        <f t="shared" si="1"/>
        <v>GOOD</v>
      </c>
      <c r="S50">
        <f t="shared" si="2"/>
        <v>0</v>
      </c>
      <c r="T50">
        <f t="shared" si="3"/>
        <v>0</v>
      </c>
      <c r="U50" t="str">
        <f t="shared" si="4"/>
        <v>OK</v>
      </c>
    </row>
    <row r="51" spans="1:21">
      <c r="A51" t="s">
        <v>63</v>
      </c>
      <c r="B51" t="s">
        <v>4330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 t="str">
        <f>IF((Sheet1[[#This Row],[Quantity]]*Sheet1[[#This Row],[UnitPrice]])=(Sheet1[[#This Row],[TotalPrice]]), "True", "False")</f>
        <v>True</v>
      </c>
      <c r="P51" t="str">
        <f>IF((Sheet1[[#This Row],[ItemsInCart]]&gt;=Sheet1[[#This Row],[Quantity]]), "Good", "Bad")</f>
        <v>Good</v>
      </c>
      <c r="Q51" t="str">
        <f t="shared" si="0"/>
        <v>OK</v>
      </c>
      <c r="R51" t="str">
        <f t="shared" si="1"/>
        <v>GOOD</v>
      </c>
      <c r="S51">
        <f t="shared" si="2"/>
        <v>0</v>
      </c>
      <c r="T51">
        <f t="shared" si="3"/>
        <v>0</v>
      </c>
      <c r="U51" t="str">
        <f t="shared" si="4"/>
        <v>OK</v>
      </c>
    </row>
    <row r="52" spans="1:21">
      <c r="A52" t="s">
        <v>64</v>
      </c>
      <c r="B52" t="s">
        <v>4331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 t="str">
        <f>IF((Sheet1[[#This Row],[Quantity]]*Sheet1[[#This Row],[UnitPrice]])=(Sheet1[[#This Row],[TotalPrice]]), "True", "False")</f>
        <v>True</v>
      </c>
      <c r="P52" t="str">
        <f>IF((Sheet1[[#This Row],[ItemsInCart]]&gt;=Sheet1[[#This Row],[Quantity]]), "Good", "Bad")</f>
        <v>Good</v>
      </c>
      <c r="Q52" t="str">
        <f t="shared" si="0"/>
        <v>OK</v>
      </c>
      <c r="R52" t="str">
        <f t="shared" si="1"/>
        <v>BAD</v>
      </c>
      <c r="S52">
        <f t="shared" si="2"/>
        <v>0</v>
      </c>
      <c r="T52">
        <f t="shared" si="3"/>
        <v>1</v>
      </c>
      <c r="U52" t="str">
        <f t="shared" si="4"/>
        <v>REVIEW_RETURN</v>
      </c>
    </row>
    <row r="53" spans="1:21">
      <c r="A53" t="s">
        <v>65</v>
      </c>
      <c r="B53" t="s">
        <v>4332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 t="str">
        <f>IF((Sheet1[[#This Row],[Quantity]]*Sheet1[[#This Row],[UnitPrice]])=(Sheet1[[#This Row],[TotalPrice]]), "True", "False")</f>
        <v>True</v>
      </c>
      <c r="P53" t="str">
        <f>IF((Sheet1[[#This Row],[ItemsInCart]]&gt;=Sheet1[[#This Row],[Quantity]]), "Good", "Bad")</f>
        <v>Good</v>
      </c>
      <c r="Q53" t="str">
        <f t="shared" si="0"/>
        <v>OK</v>
      </c>
      <c r="R53" t="str">
        <f t="shared" si="1"/>
        <v>GOOD</v>
      </c>
      <c r="S53">
        <f t="shared" si="2"/>
        <v>0</v>
      </c>
      <c r="T53">
        <f t="shared" si="3"/>
        <v>0</v>
      </c>
      <c r="U53" t="str">
        <f t="shared" si="4"/>
        <v>OK</v>
      </c>
    </row>
    <row r="54" spans="1:21">
      <c r="A54" t="s">
        <v>66</v>
      </c>
      <c r="B54" t="s">
        <v>4333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 t="str">
        <f>IF((Sheet1[[#This Row],[Quantity]]*Sheet1[[#This Row],[UnitPrice]])=(Sheet1[[#This Row],[TotalPrice]]), "True", "False")</f>
        <v>True</v>
      </c>
      <c r="P54" t="str">
        <f>IF((Sheet1[[#This Row],[ItemsInCart]]&gt;=Sheet1[[#This Row],[Quantity]]), "Good", "Bad")</f>
        <v>Good</v>
      </c>
      <c r="Q54" t="str">
        <f t="shared" si="0"/>
        <v>OK</v>
      </c>
      <c r="R54" t="str">
        <f t="shared" si="1"/>
        <v>GOOD</v>
      </c>
      <c r="S54">
        <f t="shared" si="2"/>
        <v>0</v>
      </c>
      <c r="T54">
        <f t="shared" si="3"/>
        <v>0</v>
      </c>
      <c r="U54" t="str">
        <f t="shared" si="4"/>
        <v>OK</v>
      </c>
    </row>
    <row r="55" spans="1:21">
      <c r="A55" t="s">
        <v>67</v>
      </c>
      <c r="B55" t="s">
        <v>4334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 t="str">
        <f>IF((Sheet1[[#This Row],[Quantity]]*Sheet1[[#This Row],[UnitPrice]])=(Sheet1[[#This Row],[TotalPrice]]), "True", "False")</f>
        <v>True</v>
      </c>
      <c r="P55" t="str">
        <f>IF((Sheet1[[#This Row],[ItemsInCart]]&gt;=Sheet1[[#This Row],[Quantity]]), "Good", "Bad")</f>
        <v>Good</v>
      </c>
      <c r="Q55" t="str">
        <f t="shared" si="0"/>
        <v>OK</v>
      </c>
      <c r="R55" t="str">
        <f t="shared" si="1"/>
        <v>GOOD</v>
      </c>
      <c r="S55">
        <f t="shared" si="2"/>
        <v>0</v>
      </c>
      <c r="T55">
        <f t="shared" si="3"/>
        <v>0</v>
      </c>
      <c r="U55" t="str">
        <f t="shared" si="4"/>
        <v>OK</v>
      </c>
    </row>
    <row r="56" spans="1:21">
      <c r="A56" t="s">
        <v>68</v>
      </c>
      <c r="B56" t="s">
        <v>4335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 t="str">
        <f>IF((Sheet1[[#This Row],[Quantity]]*Sheet1[[#This Row],[UnitPrice]])=(Sheet1[[#This Row],[TotalPrice]]), "True", "False")</f>
        <v>True</v>
      </c>
      <c r="P56" t="str">
        <f>IF((Sheet1[[#This Row],[ItemsInCart]]&gt;=Sheet1[[#This Row],[Quantity]]), "Good", "Bad")</f>
        <v>Good</v>
      </c>
      <c r="Q56" t="str">
        <f t="shared" si="0"/>
        <v>OK</v>
      </c>
      <c r="R56" t="str">
        <f t="shared" si="1"/>
        <v>BAD</v>
      </c>
      <c r="S56">
        <f t="shared" si="2"/>
        <v>0</v>
      </c>
      <c r="T56">
        <f t="shared" si="3"/>
        <v>1</v>
      </c>
      <c r="U56" t="str">
        <f t="shared" si="4"/>
        <v>DOCUMENTED</v>
      </c>
    </row>
    <row r="57" spans="1:21">
      <c r="A57" t="s">
        <v>69</v>
      </c>
      <c r="B57" t="s">
        <v>4336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4961</v>
      </c>
      <c r="M57" t="s">
        <v>4281</v>
      </c>
      <c r="N57">
        <v>1033.2</v>
      </c>
      <c r="O57" t="str">
        <f>IF((Sheet1[[#This Row],[Quantity]]*Sheet1[[#This Row],[UnitPrice]])=(Sheet1[[#This Row],[TotalPrice]]), "True", "False")</f>
        <v>True</v>
      </c>
      <c r="P57" t="str">
        <f>IF((Sheet1[[#This Row],[ItemsInCart]]&gt;=Sheet1[[#This Row],[Quantity]]), "Good", "Bad")</f>
        <v>Good</v>
      </c>
      <c r="Q57" t="str">
        <f t="shared" si="0"/>
        <v>OK</v>
      </c>
      <c r="R57" t="str">
        <f t="shared" si="1"/>
        <v>BAD</v>
      </c>
      <c r="S57">
        <f t="shared" si="2"/>
        <v>0</v>
      </c>
      <c r="T57">
        <f t="shared" si="3"/>
        <v>1</v>
      </c>
      <c r="U57" t="str">
        <f t="shared" si="4"/>
        <v>REVIEW_RETURN</v>
      </c>
    </row>
    <row r="58" spans="1:21">
      <c r="A58" t="s">
        <v>70</v>
      </c>
      <c r="B58" t="s">
        <v>4337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 t="str">
        <f>IF((Sheet1[[#This Row],[Quantity]]*Sheet1[[#This Row],[UnitPrice]])=(Sheet1[[#This Row],[TotalPrice]]), "True", "False")</f>
        <v>True</v>
      </c>
      <c r="P58" t="str">
        <f>IF((Sheet1[[#This Row],[ItemsInCart]]&gt;=Sheet1[[#This Row],[Quantity]]), "Good", "Bad")</f>
        <v>Good</v>
      </c>
      <c r="Q58" t="str">
        <f t="shared" si="0"/>
        <v>OK</v>
      </c>
      <c r="R58" t="str">
        <f t="shared" si="1"/>
        <v>BAD</v>
      </c>
      <c r="S58">
        <f t="shared" si="2"/>
        <v>0</v>
      </c>
      <c r="T58">
        <f t="shared" si="3"/>
        <v>1</v>
      </c>
      <c r="U58" t="str">
        <f t="shared" si="4"/>
        <v>REVIEW_RETURN</v>
      </c>
    </row>
    <row r="59" spans="1:21">
      <c r="A59" t="s">
        <v>71</v>
      </c>
      <c r="B59" t="s">
        <v>4338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 t="str">
        <f>IF((Sheet1[[#This Row],[Quantity]]*Sheet1[[#This Row],[UnitPrice]])=(Sheet1[[#This Row],[TotalPrice]]), "True", "False")</f>
        <v>True</v>
      </c>
      <c r="P59" t="str">
        <f>IF((Sheet1[[#This Row],[ItemsInCart]]&gt;=Sheet1[[#This Row],[Quantity]]), "Good", "Bad")</f>
        <v>Good</v>
      </c>
      <c r="Q59" t="str">
        <f t="shared" si="0"/>
        <v>OK</v>
      </c>
      <c r="R59" t="str">
        <f t="shared" si="1"/>
        <v>GOOD</v>
      </c>
      <c r="S59">
        <f t="shared" si="2"/>
        <v>0</v>
      </c>
      <c r="T59">
        <f t="shared" si="3"/>
        <v>0</v>
      </c>
      <c r="U59" t="str">
        <f t="shared" si="4"/>
        <v>OK</v>
      </c>
    </row>
    <row r="60" spans="1:21">
      <c r="A60" t="s">
        <v>72</v>
      </c>
      <c r="B60" t="s">
        <v>4339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 t="str">
        <f>IF((Sheet1[[#This Row],[Quantity]]*Sheet1[[#This Row],[UnitPrice]])=(Sheet1[[#This Row],[TotalPrice]]), "True", "False")</f>
        <v>True</v>
      </c>
      <c r="P60" t="str">
        <f>IF((Sheet1[[#This Row],[ItemsInCart]]&gt;=Sheet1[[#This Row],[Quantity]]), "Good", "Bad")</f>
        <v>Good</v>
      </c>
      <c r="Q60" t="str">
        <f t="shared" si="0"/>
        <v>OK</v>
      </c>
      <c r="R60" t="str">
        <f t="shared" si="1"/>
        <v>BAD</v>
      </c>
      <c r="S60">
        <f t="shared" si="2"/>
        <v>0</v>
      </c>
      <c r="T60">
        <f t="shared" si="3"/>
        <v>1</v>
      </c>
      <c r="U60" t="str">
        <f t="shared" si="4"/>
        <v>REVIEW_RETURN</v>
      </c>
    </row>
    <row r="61" spans="1:21">
      <c r="A61" t="s">
        <v>73</v>
      </c>
      <c r="B61" t="s">
        <v>4340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4961</v>
      </c>
      <c r="M61" t="s">
        <v>4281</v>
      </c>
      <c r="N61">
        <v>2373.08</v>
      </c>
      <c r="O61" t="str">
        <f>IF((Sheet1[[#This Row],[Quantity]]*Sheet1[[#This Row],[UnitPrice]])=(Sheet1[[#This Row],[TotalPrice]]), "True", "False")</f>
        <v>True</v>
      </c>
      <c r="P61" t="str">
        <f>IF((Sheet1[[#This Row],[ItemsInCart]]&gt;=Sheet1[[#This Row],[Quantity]]), "Good", "Bad")</f>
        <v>Good</v>
      </c>
      <c r="Q61" t="str">
        <f t="shared" si="0"/>
        <v>OK</v>
      </c>
      <c r="R61" t="str">
        <f t="shared" si="1"/>
        <v>GOOD</v>
      </c>
      <c r="S61">
        <f t="shared" si="2"/>
        <v>0</v>
      </c>
      <c r="T61">
        <f t="shared" si="3"/>
        <v>0</v>
      </c>
      <c r="U61" t="str">
        <f t="shared" si="4"/>
        <v>OK</v>
      </c>
    </row>
    <row r="62" spans="1:21">
      <c r="A62" t="s">
        <v>74</v>
      </c>
      <c r="B62" t="s">
        <v>4341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 t="str">
        <f>IF((Sheet1[[#This Row],[Quantity]]*Sheet1[[#This Row],[UnitPrice]])=(Sheet1[[#This Row],[TotalPrice]]), "True", "False")</f>
        <v>True</v>
      </c>
      <c r="P62" t="str">
        <f>IF((Sheet1[[#This Row],[ItemsInCart]]&gt;=Sheet1[[#This Row],[Quantity]]), "Good", "Bad")</f>
        <v>Good</v>
      </c>
      <c r="Q62" t="str">
        <f t="shared" si="0"/>
        <v>OK</v>
      </c>
      <c r="R62" t="str">
        <f t="shared" si="1"/>
        <v>GOOD</v>
      </c>
      <c r="S62">
        <f t="shared" si="2"/>
        <v>0</v>
      </c>
      <c r="T62">
        <f t="shared" si="3"/>
        <v>0</v>
      </c>
      <c r="U62" t="str">
        <f t="shared" si="4"/>
        <v>OK</v>
      </c>
    </row>
    <row r="63" spans="1:21">
      <c r="A63" t="s">
        <v>75</v>
      </c>
      <c r="B63" t="s">
        <v>4342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 t="str">
        <f>IF((Sheet1[[#This Row],[Quantity]]*Sheet1[[#This Row],[UnitPrice]])=(Sheet1[[#This Row],[TotalPrice]]), "True", "False")</f>
        <v>True</v>
      </c>
      <c r="P63" t="str">
        <f>IF((Sheet1[[#This Row],[ItemsInCart]]&gt;=Sheet1[[#This Row],[Quantity]]), "Good", "Bad")</f>
        <v>Good</v>
      </c>
      <c r="Q63" t="str">
        <f t="shared" si="0"/>
        <v>OK</v>
      </c>
      <c r="R63" t="str">
        <f t="shared" si="1"/>
        <v>GOOD</v>
      </c>
      <c r="S63">
        <f t="shared" si="2"/>
        <v>0</v>
      </c>
      <c r="T63">
        <f t="shared" si="3"/>
        <v>0</v>
      </c>
      <c r="U63" t="str">
        <f t="shared" si="4"/>
        <v>OK</v>
      </c>
    </row>
    <row r="64" spans="1:21">
      <c r="A64" t="s">
        <v>76</v>
      </c>
      <c r="B64" t="s">
        <v>4343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 t="str">
        <f>IF((Sheet1[[#This Row],[Quantity]]*Sheet1[[#This Row],[UnitPrice]])=(Sheet1[[#This Row],[TotalPrice]]), "True", "False")</f>
        <v>True</v>
      </c>
      <c r="P64" t="str">
        <f>IF((Sheet1[[#This Row],[ItemsInCart]]&gt;=Sheet1[[#This Row],[Quantity]]), "Good", "Bad")</f>
        <v>Good</v>
      </c>
      <c r="Q64" t="str">
        <f t="shared" si="0"/>
        <v>OK</v>
      </c>
      <c r="R64" t="str">
        <f t="shared" si="1"/>
        <v>BAD</v>
      </c>
      <c r="S64">
        <f t="shared" si="2"/>
        <v>0</v>
      </c>
      <c r="T64">
        <f t="shared" si="3"/>
        <v>1</v>
      </c>
      <c r="U64" t="str">
        <f t="shared" si="4"/>
        <v>DOCUMENTED</v>
      </c>
    </row>
    <row r="65" spans="1:21">
      <c r="A65" t="s">
        <v>77</v>
      </c>
      <c r="B65" t="s">
        <v>4344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 t="str">
        <f>IF((Sheet1[[#This Row],[Quantity]]*Sheet1[[#This Row],[UnitPrice]])=(Sheet1[[#This Row],[TotalPrice]]), "True", "False")</f>
        <v>True</v>
      </c>
      <c r="P65" t="str">
        <f>IF((Sheet1[[#This Row],[ItemsInCart]]&gt;=Sheet1[[#This Row],[Quantity]]), "Good", "Bad")</f>
        <v>Good</v>
      </c>
      <c r="Q65" t="str">
        <f t="shared" si="0"/>
        <v>OK</v>
      </c>
      <c r="R65" t="str">
        <f t="shared" si="1"/>
        <v>GOOD</v>
      </c>
      <c r="S65">
        <f t="shared" si="2"/>
        <v>0</v>
      </c>
      <c r="T65">
        <f t="shared" si="3"/>
        <v>0</v>
      </c>
      <c r="U65" t="str">
        <f t="shared" si="4"/>
        <v>OK</v>
      </c>
    </row>
    <row r="66" spans="1:21">
      <c r="A66" t="s">
        <v>78</v>
      </c>
      <c r="B66" t="s">
        <v>4345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 t="str">
        <f>IF((Sheet1[[#This Row],[Quantity]]*Sheet1[[#This Row],[UnitPrice]])=(Sheet1[[#This Row],[TotalPrice]]), "True", "False")</f>
        <v>True</v>
      </c>
      <c r="P66" t="str">
        <f>IF((Sheet1[[#This Row],[ItemsInCart]]&gt;=Sheet1[[#This Row],[Quantity]]), "Good", "Bad")</f>
        <v>Good</v>
      </c>
      <c r="Q66" t="str">
        <f t="shared" ref="Q66:Q129" si="5">IF(AND(E66&gt;0, F66&gt;0,N66&gt;0),"OK","INVALID")</f>
        <v>OK</v>
      </c>
      <c r="R66" t="str">
        <f t="shared" ref="R66:R129" si="6">IF(OR(AND(OR(I66="Shipped",I66="Delivered",I66="Returned"),J66=""),AND(OR(I66="Processing",I66="Pending",I66="Cancelled"),J66&lt;&gt;"")),"BAD","GOOD")</f>
        <v>BAD</v>
      </c>
      <c r="S66">
        <f t="shared" ref="S66:S129" si="7">IF(AND(OR(I66="Shipped",I66="Delivered",I66="Returned"),J66=""),1,0)</f>
        <v>0</v>
      </c>
      <c r="T66">
        <f t="shared" ref="T66:T129" si="8">IF(AND(OR(I66="Processing",I66="Pending",I66="Cancelled"),J66&lt;&gt;""),1,0)</f>
        <v>1</v>
      </c>
      <c r="U66" t="str">
        <f t="shared" ref="U66:U129" si="9">IF(AND(OR(I66="Shipped",I66="Delivered"),J66=""),"MISSING_TRACKING", IF(AND(OR(I66="Processing",I66="Pending"),J66&lt;&gt;""),"DOCUMENTED", IF(AND(I66="Cancelled",J66&lt;&gt;""), "REVIEW_RETURN", "OK")))</f>
        <v>REVIEW_RETURN</v>
      </c>
    </row>
    <row r="67" spans="1:21">
      <c r="A67" t="s">
        <v>79</v>
      </c>
      <c r="B67" t="s">
        <v>4346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4961</v>
      </c>
      <c r="M67" t="s">
        <v>4278</v>
      </c>
      <c r="N67">
        <v>408.5</v>
      </c>
      <c r="O67" t="str">
        <f>IF((Sheet1[[#This Row],[Quantity]]*Sheet1[[#This Row],[UnitPrice]])=(Sheet1[[#This Row],[TotalPrice]]), "True", "False")</f>
        <v>True</v>
      </c>
      <c r="P67" t="str">
        <f>IF((Sheet1[[#This Row],[ItemsInCart]]&gt;=Sheet1[[#This Row],[Quantity]]), "Good", "Bad")</f>
        <v>Good</v>
      </c>
      <c r="Q67" t="str">
        <f t="shared" si="5"/>
        <v>OK</v>
      </c>
      <c r="R67" t="str">
        <f t="shared" si="6"/>
        <v>GOOD</v>
      </c>
      <c r="S67">
        <f t="shared" si="7"/>
        <v>0</v>
      </c>
      <c r="T67">
        <f t="shared" si="8"/>
        <v>0</v>
      </c>
      <c r="U67" t="str">
        <f t="shared" si="9"/>
        <v>OK</v>
      </c>
    </row>
    <row r="68" spans="1:21">
      <c r="A68" t="s">
        <v>80</v>
      </c>
      <c r="B68" t="s">
        <v>4347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 t="str">
        <f>IF((Sheet1[[#This Row],[Quantity]]*Sheet1[[#This Row],[UnitPrice]])=(Sheet1[[#This Row],[TotalPrice]]), "True", "False")</f>
        <v>True</v>
      </c>
      <c r="P68" t="str">
        <f>IF((Sheet1[[#This Row],[ItemsInCart]]&gt;=Sheet1[[#This Row],[Quantity]]), "Good", "Bad")</f>
        <v>Good</v>
      </c>
      <c r="Q68" t="str">
        <f t="shared" si="5"/>
        <v>OK</v>
      </c>
      <c r="R68" t="str">
        <f t="shared" si="6"/>
        <v>BAD</v>
      </c>
      <c r="S68">
        <f t="shared" si="7"/>
        <v>0</v>
      </c>
      <c r="T68">
        <f t="shared" si="8"/>
        <v>1</v>
      </c>
      <c r="U68" t="str">
        <f t="shared" si="9"/>
        <v>REVIEW_RETURN</v>
      </c>
    </row>
    <row r="69" spans="1:21">
      <c r="A69" t="s">
        <v>81</v>
      </c>
      <c r="B69" t="s">
        <v>4348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4961</v>
      </c>
      <c r="M69" t="s">
        <v>4282</v>
      </c>
      <c r="N69">
        <v>48.4</v>
      </c>
      <c r="O69" t="str">
        <f>IF((Sheet1[[#This Row],[Quantity]]*Sheet1[[#This Row],[UnitPrice]])=(Sheet1[[#This Row],[TotalPrice]]), "True", "False")</f>
        <v>True</v>
      </c>
      <c r="P69" t="str">
        <f>IF((Sheet1[[#This Row],[ItemsInCart]]&gt;=Sheet1[[#This Row],[Quantity]]), "Good", "Bad")</f>
        <v>Good</v>
      </c>
      <c r="Q69" t="str">
        <f t="shared" si="5"/>
        <v>OK</v>
      </c>
      <c r="R69" t="str">
        <f t="shared" si="6"/>
        <v>BAD</v>
      </c>
      <c r="S69">
        <f t="shared" si="7"/>
        <v>0</v>
      </c>
      <c r="T69">
        <f t="shared" si="8"/>
        <v>1</v>
      </c>
      <c r="U69" t="str">
        <f t="shared" si="9"/>
        <v>REVIEW_RETURN</v>
      </c>
    </row>
    <row r="70" spans="1:21">
      <c r="A70" t="s">
        <v>82</v>
      </c>
      <c r="B70" t="s">
        <v>4349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 t="str">
        <f>IF((Sheet1[[#This Row],[Quantity]]*Sheet1[[#This Row],[UnitPrice]])=(Sheet1[[#This Row],[TotalPrice]]), "True", "False")</f>
        <v>True</v>
      </c>
      <c r="P70" t="str">
        <f>IF((Sheet1[[#This Row],[ItemsInCart]]&gt;=Sheet1[[#This Row],[Quantity]]), "Good", "Bad")</f>
        <v>Good</v>
      </c>
      <c r="Q70" t="str">
        <f t="shared" si="5"/>
        <v>OK</v>
      </c>
      <c r="R70" t="str">
        <f t="shared" si="6"/>
        <v>BAD</v>
      </c>
      <c r="S70">
        <f t="shared" si="7"/>
        <v>0</v>
      </c>
      <c r="T70">
        <f t="shared" si="8"/>
        <v>1</v>
      </c>
      <c r="U70" t="str">
        <f t="shared" si="9"/>
        <v>DOCUMENTED</v>
      </c>
    </row>
    <row r="71" spans="1:21">
      <c r="A71" t="s">
        <v>83</v>
      </c>
      <c r="B71" t="s">
        <v>4350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4961</v>
      </c>
      <c r="M71" t="s">
        <v>4279</v>
      </c>
      <c r="N71">
        <v>1435.95</v>
      </c>
      <c r="O71" t="str">
        <f>IF((Sheet1[[#This Row],[Quantity]]*Sheet1[[#This Row],[UnitPrice]])=(Sheet1[[#This Row],[TotalPrice]]), "True", "False")</f>
        <v>True</v>
      </c>
      <c r="P71" t="str">
        <f>IF((Sheet1[[#This Row],[ItemsInCart]]&gt;=Sheet1[[#This Row],[Quantity]]), "Good", "Bad")</f>
        <v>Good</v>
      </c>
      <c r="Q71" t="str">
        <f t="shared" si="5"/>
        <v>OK</v>
      </c>
      <c r="R71" t="str">
        <f t="shared" si="6"/>
        <v>GOOD</v>
      </c>
      <c r="S71">
        <f t="shared" si="7"/>
        <v>0</v>
      </c>
      <c r="T71">
        <f t="shared" si="8"/>
        <v>0</v>
      </c>
      <c r="U71" t="str">
        <f t="shared" si="9"/>
        <v>OK</v>
      </c>
    </row>
    <row r="72" spans="1:21">
      <c r="A72" t="s">
        <v>84</v>
      </c>
      <c r="B72" t="s">
        <v>4351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 t="str">
        <f>IF((Sheet1[[#This Row],[Quantity]]*Sheet1[[#This Row],[UnitPrice]])=(Sheet1[[#This Row],[TotalPrice]]), "True", "False")</f>
        <v>True</v>
      </c>
      <c r="P72" t="str">
        <f>IF((Sheet1[[#This Row],[ItemsInCart]]&gt;=Sheet1[[#This Row],[Quantity]]), "Good", "Bad")</f>
        <v>Good</v>
      </c>
      <c r="Q72" t="str">
        <f t="shared" si="5"/>
        <v>OK</v>
      </c>
      <c r="R72" t="str">
        <f t="shared" si="6"/>
        <v>BAD</v>
      </c>
      <c r="S72">
        <f t="shared" si="7"/>
        <v>0</v>
      </c>
      <c r="T72">
        <f t="shared" si="8"/>
        <v>1</v>
      </c>
      <c r="U72" t="str">
        <f t="shared" si="9"/>
        <v>DOCUMENTED</v>
      </c>
    </row>
    <row r="73" spans="1:21">
      <c r="A73" t="s">
        <v>85</v>
      </c>
      <c r="B73" t="s">
        <v>4352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4961</v>
      </c>
      <c r="M73" t="s">
        <v>4279</v>
      </c>
      <c r="N73">
        <v>1303.3499999999999</v>
      </c>
      <c r="O73" t="str">
        <f>IF((Sheet1[[#This Row],[Quantity]]*Sheet1[[#This Row],[UnitPrice]])=(Sheet1[[#This Row],[TotalPrice]]), "True", "False")</f>
        <v>True</v>
      </c>
      <c r="P73" t="str">
        <f>IF((Sheet1[[#This Row],[ItemsInCart]]&gt;=Sheet1[[#This Row],[Quantity]]), "Good", "Bad")</f>
        <v>Good</v>
      </c>
      <c r="Q73" t="str">
        <f t="shared" si="5"/>
        <v>OK</v>
      </c>
      <c r="R73" t="str">
        <f t="shared" si="6"/>
        <v>BAD</v>
      </c>
      <c r="S73">
        <f t="shared" si="7"/>
        <v>0</v>
      </c>
      <c r="T73">
        <f t="shared" si="8"/>
        <v>1</v>
      </c>
      <c r="U73" t="str">
        <f t="shared" si="9"/>
        <v>DOCUMENTED</v>
      </c>
    </row>
    <row r="74" spans="1:21">
      <c r="A74" t="s">
        <v>86</v>
      </c>
      <c r="B74" t="s">
        <v>4353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4961</v>
      </c>
      <c r="M74" t="s">
        <v>4281</v>
      </c>
      <c r="N74">
        <v>2357.7600000000002</v>
      </c>
      <c r="O74" t="str">
        <f>IF((Sheet1[[#This Row],[Quantity]]*Sheet1[[#This Row],[UnitPrice]])=(Sheet1[[#This Row],[TotalPrice]]), "True", "False")</f>
        <v>True</v>
      </c>
      <c r="P74" t="str">
        <f>IF((Sheet1[[#This Row],[ItemsInCart]]&gt;=Sheet1[[#This Row],[Quantity]]), "Good", "Bad")</f>
        <v>Good</v>
      </c>
      <c r="Q74" t="str">
        <f t="shared" si="5"/>
        <v>OK</v>
      </c>
      <c r="R74" t="str">
        <f t="shared" si="6"/>
        <v>GOOD</v>
      </c>
      <c r="S74">
        <f t="shared" si="7"/>
        <v>0</v>
      </c>
      <c r="T74">
        <f t="shared" si="8"/>
        <v>0</v>
      </c>
      <c r="U74" t="str">
        <f t="shared" si="9"/>
        <v>OK</v>
      </c>
    </row>
    <row r="75" spans="1:21">
      <c r="A75" t="s">
        <v>87</v>
      </c>
      <c r="B75" t="s">
        <v>4354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4961</v>
      </c>
      <c r="M75" t="s">
        <v>4281</v>
      </c>
      <c r="N75">
        <v>1733.8</v>
      </c>
      <c r="O75" t="str">
        <f>IF((Sheet1[[#This Row],[Quantity]]*Sheet1[[#This Row],[UnitPrice]])=(Sheet1[[#This Row],[TotalPrice]]), "True", "False")</f>
        <v>True</v>
      </c>
      <c r="P75" t="str">
        <f>IF((Sheet1[[#This Row],[ItemsInCart]]&gt;=Sheet1[[#This Row],[Quantity]]), "Good", "Bad")</f>
        <v>Good</v>
      </c>
      <c r="Q75" t="str">
        <f t="shared" si="5"/>
        <v>OK</v>
      </c>
      <c r="R75" t="str">
        <f t="shared" si="6"/>
        <v>BAD</v>
      </c>
      <c r="S75">
        <f t="shared" si="7"/>
        <v>0</v>
      </c>
      <c r="T75">
        <f t="shared" si="8"/>
        <v>1</v>
      </c>
      <c r="U75" t="str">
        <f t="shared" si="9"/>
        <v>REVIEW_RETURN</v>
      </c>
    </row>
    <row r="76" spans="1:21">
      <c r="A76" t="s">
        <v>88</v>
      </c>
      <c r="B76" t="s">
        <v>4355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4961</v>
      </c>
      <c r="M76" t="s">
        <v>4278</v>
      </c>
      <c r="N76">
        <v>454.35</v>
      </c>
      <c r="O76" t="str">
        <f>IF((Sheet1[[#This Row],[Quantity]]*Sheet1[[#This Row],[UnitPrice]])=(Sheet1[[#This Row],[TotalPrice]]), "True", "False")</f>
        <v>True</v>
      </c>
      <c r="P76" t="str">
        <f>IF((Sheet1[[#This Row],[ItemsInCart]]&gt;=Sheet1[[#This Row],[Quantity]]), "Good", "Bad")</f>
        <v>Good</v>
      </c>
      <c r="Q76" t="str">
        <f t="shared" si="5"/>
        <v>OK</v>
      </c>
      <c r="R76" t="str">
        <f t="shared" si="6"/>
        <v>BAD</v>
      </c>
      <c r="S76">
        <f t="shared" si="7"/>
        <v>0</v>
      </c>
      <c r="T76">
        <f t="shared" si="8"/>
        <v>1</v>
      </c>
      <c r="U76" t="str">
        <f t="shared" si="9"/>
        <v>DOCUMENTED</v>
      </c>
    </row>
    <row r="77" spans="1:21">
      <c r="A77" t="s">
        <v>89</v>
      </c>
      <c r="B77" t="s">
        <v>4356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 t="str">
        <f>IF((Sheet1[[#This Row],[Quantity]]*Sheet1[[#This Row],[UnitPrice]])=(Sheet1[[#This Row],[TotalPrice]]), "True", "False")</f>
        <v>True</v>
      </c>
      <c r="P77" t="str">
        <f>IF((Sheet1[[#This Row],[ItemsInCart]]&gt;=Sheet1[[#This Row],[Quantity]]), "Good", "Bad")</f>
        <v>Good</v>
      </c>
      <c r="Q77" t="str">
        <f t="shared" si="5"/>
        <v>OK</v>
      </c>
      <c r="R77" t="str">
        <f t="shared" si="6"/>
        <v>GOOD</v>
      </c>
      <c r="S77">
        <f t="shared" si="7"/>
        <v>0</v>
      </c>
      <c r="T77">
        <f t="shared" si="8"/>
        <v>0</v>
      </c>
      <c r="U77" t="str">
        <f t="shared" si="9"/>
        <v>OK</v>
      </c>
    </row>
    <row r="78" spans="1:21">
      <c r="A78" t="s">
        <v>90</v>
      </c>
      <c r="B78" t="s">
        <v>4357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 t="str">
        <f>IF((Sheet1[[#This Row],[Quantity]]*Sheet1[[#This Row],[UnitPrice]])=(Sheet1[[#This Row],[TotalPrice]]), "True", "False")</f>
        <v>True</v>
      </c>
      <c r="P78" t="str">
        <f>IF((Sheet1[[#This Row],[ItemsInCart]]&gt;=Sheet1[[#This Row],[Quantity]]), "Good", "Bad")</f>
        <v>Good</v>
      </c>
      <c r="Q78" t="str">
        <f t="shared" si="5"/>
        <v>OK</v>
      </c>
      <c r="R78" t="str">
        <f t="shared" si="6"/>
        <v>BAD</v>
      </c>
      <c r="S78">
        <f t="shared" si="7"/>
        <v>0</v>
      </c>
      <c r="T78">
        <f t="shared" si="8"/>
        <v>1</v>
      </c>
      <c r="U78" t="str">
        <f t="shared" si="9"/>
        <v>REVIEW_RETURN</v>
      </c>
    </row>
    <row r="79" spans="1:21">
      <c r="A79" t="s">
        <v>91</v>
      </c>
      <c r="B79" t="s">
        <v>4358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4961</v>
      </c>
      <c r="M79" t="s">
        <v>4282</v>
      </c>
      <c r="N79">
        <v>583.17999999999995</v>
      </c>
      <c r="O79" t="str">
        <f>IF((Sheet1[[#This Row],[Quantity]]*Sheet1[[#This Row],[UnitPrice]])=(Sheet1[[#This Row],[TotalPrice]]), "True", "False")</f>
        <v>True</v>
      </c>
      <c r="P79" t="str">
        <f>IF((Sheet1[[#This Row],[ItemsInCart]]&gt;=Sheet1[[#This Row],[Quantity]]), "Good", "Bad")</f>
        <v>Good</v>
      </c>
      <c r="Q79" t="str">
        <f t="shared" si="5"/>
        <v>OK</v>
      </c>
      <c r="R79" t="str">
        <f t="shared" si="6"/>
        <v>GOOD</v>
      </c>
      <c r="S79">
        <f t="shared" si="7"/>
        <v>0</v>
      </c>
      <c r="T79">
        <f t="shared" si="8"/>
        <v>0</v>
      </c>
      <c r="U79" t="str">
        <f t="shared" si="9"/>
        <v>OK</v>
      </c>
    </row>
    <row r="80" spans="1:21">
      <c r="A80" t="s">
        <v>92</v>
      </c>
      <c r="B80" t="s">
        <v>4359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 t="str">
        <f>IF((Sheet1[[#This Row],[Quantity]]*Sheet1[[#This Row],[UnitPrice]])=(Sheet1[[#This Row],[TotalPrice]]), "True", "False")</f>
        <v>True</v>
      </c>
      <c r="P80" t="str">
        <f>IF((Sheet1[[#This Row],[ItemsInCart]]&gt;=Sheet1[[#This Row],[Quantity]]), "Good", "Bad")</f>
        <v>Good</v>
      </c>
      <c r="Q80" t="str">
        <f t="shared" si="5"/>
        <v>OK</v>
      </c>
      <c r="R80" t="str">
        <f t="shared" si="6"/>
        <v>GOOD</v>
      </c>
      <c r="S80">
        <f t="shared" si="7"/>
        <v>0</v>
      </c>
      <c r="T80">
        <f t="shared" si="8"/>
        <v>0</v>
      </c>
      <c r="U80" t="str">
        <f t="shared" si="9"/>
        <v>OK</v>
      </c>
    </row>
    <row r="81" spans="1:21">
      <c r="A81" t="s">
        <v>93</v>
      </c>
      <c r="B81" t="s">
        <v>4360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4961</v>
      </c>
      <c r="M81" t="s">
        <v>4281</v>
      </c>
      <c r="N81">
        <v>623.82000000000005</v>
      </c>
      <c r="O81" t="str">
        <f>IF((Sheet1[[#This Row],[Quantity]]*Sheet1[[#This Row],[UnitPrice]])=(Sheet1[[#This Row],[TotalPrice]]), "True", "False")</f>
        <v>True</v>
      </c>
      <c r="P81" t="str">
        <f>IF((Sheet1[[#This Row],[ItemsInCart]]&gt;=Sheet1[[#This Row],[Quantity]]), "Good", "Bad")</f>
        <v>Good</v>
      </c>
      <c r="Q81" t="str">
        <f t="shared" si="5"/>
        <v>OK</v>
      </c>
      <c r="R81" t="str">
        <f t="shared" si="6"/>
        <v>GOOD</v>
      </c>
      <c r="S81">
        <f t="shared" si="7"/>
        <v>0</v>
      </c>
      <c r="T81">
        <f t="shared" si="8"/>
        <v>0</v>
      </c>
      <c r="U81" t="str">
        <f t="shared" si="9"/>
        <v>OK</v>
      </c>
    </row>
    <row r="82" spans="1:21">
      <c r="A82" t="s">
        <v>94</v>
      </c>
      <c r="B82" t="s">
        <v>4361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4961</v>
      </c>
      <c r="M82" t="s">
        <v>4281</v>
      </c>
      <c r="N82">
        <v>1768.68</v>
      </c>
      <c r="O82" t="str">
        <f>IF((Sheet1[[#This Row],[Quantity]]*Sheet1[[#This Row],[UnitPrice]])=(Sheet1[[#This Row],[TotalPrice]]), "True", "False")</f>
        <v>True</v>
      </c>
      <c r="P82" t="str">
        <f>IF((Sheet1[[#This Row],[ItemsInCart]]&gt;=Sheet1[[#This Row],[Quantity]]), "Good", "Bad")</f>
        <v>Good</v>
      </c>
      <c r="Q82" t="str">
        <f t="shared" si="5"/>
        <v>OK</v>
      </c>
      <c r="R82" t="str">
        <f t="shared" si="6"/>
        <v>GOOD</v>
      </c>
      <c r="S82">
        <f t="shared" si="7"/>
        <v>0</v>
      </c>
      <c r="T82">
        <f t="shared" si="8"/>
        <v>0</v>
      </c>
      <c r="U82" t="str">
        <f t="shared" si="9"/>
        <v>OK</v>
      </c>
    </row>
    <row r="83" spans="1:21">
      <c r="A83" t="s">
        <v>95</v>
      </c>
      <c r="B83" t="s">
        <v>4362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 t="str">
        <f>IF((Sheet1[[#This Row],[Quantity]]*Sheet1[[#This Row],[UnitPrice]])=(Sheet1[[#This Row],[TotalPrice]]), "True", "False")</f>
        <v>True</v>
      </c>
      <c r="P83" t="str">
        <f>IF((Sheet1[[#This Row],[ItemsInCart]]&gt;=Sheet1[[#This Row],[Quantity]]), "Good", "Bad")</f>
        <v>Good</v>
      </c>
      <c r="Q83" t="str">
        <f t="shared" si="5"/>
        <v>OK</v>
      </c>
      <c r="R83" t="str">
        <f t="shared" si="6"/>
        <v>GOOD</v>
      </c>
      <c r="S83">
        <f t="shared" si="7"/>
        <v>0</v>
      </c>
      <c r="T83">
        <f t="shared" si="8"/>
        <v>0</v>
      </c>
      <c r="U83" t="str">
        <f t="shared" si="9"/>
        <v>OK</v>
      </c>
    </row>
    <row r="84" spans="1:21">
      <c r="A84" t="s">
        <v>96</v>
      </c>
      <c r="B84" t="s">
        <v>4363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 t="str">
        <f>IF((Sheet1[[#This Row],[Quantity]]*Sheet1[[#This Row],[UnitPrice]])=(Sheet1[[#This Row],[TotalPrice]]), "True", "False")</f>
        <v>True</v>
      </c>
      <c r="P84" t="str">
        <f>IF((Sheet1[[#This Row],[ItemsInCart]]&gt;=Sheet1[[#This Row],[Quantity]]), "Good", "Bad")</f>
        <v>Good</v>
      </c>
      <c r="Q84" t="str">
        <f t="shared" si="5"/>
        <v>OK</v>
      </c>
      <c r="R84" t="str">
        <f t="shared" si="6"/>
        <v>GOOD</v>
      </c>
      <c r="S84">
        <f t="shared" si="7"/>
        <v>0</v>
      </c>
      <c r="T84">
        <f t="shared" si="8"/>
        <v>0</v>
      </c>
      <c r="U84" t="str">
        <f t="shared" si="9"/>
        <v>OK</v>
      </c>
    </row>
    <row r="85" spans="1:21">
      <c r="A85" t="s">
        <v>97</v>
      </c>
      <c r="B85" t="s">
        <v>4343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4961</v>
      </c>
      <c r="M85" t="s">
        <v>4279</v>
      </c>
      <c r="N85">
        <v>2161.64</v>
      </c>
      <c r="O85" t="str">
        <f>IF((Sheet1[[#This Row],[Quantity]]*Sheet1[[#This Row],[UnitPrice]])=(Sheet1[[#This Row],[TotalPrice]]), "True", "False")</f>
        <v>True</v>
      </c>
      <c r="P85" t="str">
        <f>IF((Sheet1[[#This Row],[ItemsInCart]]&gt;=Sheet1[[#This Row],[Quantity]]), "Good", "Bad")</f>
        <v>Good</v>
      </c>
      <c r="Q85" t="str">
        <f t="shared" si="5"/>
        <v>OK</v>
      </c>
      <c r="R85" t="str">
        <f t="shared" si="6"/>
        <v>BAD</v>
      </c>
      <c r="S85">
        <f t="shared" si="7"/>
        <v>0</v>
      </c>
      <c r="T85">
        <f t="shared" si="8"/>
        <v>1</v>
      </c>
      <c r="U85" t="str">
        <f t="shared" si="9"/>
        <v>REVIEW_RETURN</v>
      </c>
    </row>
    <row r="86" spans="1:21">
      <c r="A86" t="s">
        <v>98</v>
      </c>
      <c r="B86" t="s">
        <v>4364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 t="str">
        <f>IF((Sheet1[[#This Row],[Quantity]]*Sheet1[[#This Row],[UnitPrice]])=(Sheet1[[#This Row],[TotalPrice]]), "True", "False")</f>
        <v>True</v>
      </c>
      <c r="P86" t="str">
        <f>IF((Sheet1[[#This Row],[ItemsInCart]]&gt;=Sheet1[[#This Row],[Quantity]]), "Good", "Bad")</f>
        <v>Good</v>
      </c>
      <c r="Q86" t="str">
        <f t="shared" si="5"/>
        <v>OK</v>
      </c>
      <c r="R86" t="str">
        <f t="shared" si="6"/>
        <v>GOOD</v>
      </c>
      <c r="S86">
        <f t="shared" si="7"/>
        <v>0</v>
      </c>
      <c r="T86">
        <f t="shared" si="8"/>
        <v>0</v>
      </c>
      <c r="U86" t="str">
        <f t="shared" si="9"/>
        <v>OK</v>
      </c>
    </row>
    <row r="87" spans="1:21">
      <c r="A87" t="s">
        <v>99</v>
      </c>
      <c r="B87" t="s">
        <v>4365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 t="str">
        <f>IF((Sheet1[[#This Row],[Quantity]]*Sheet1[[#This Row],[UnitPrice]])=(Sheet1[[#This Row],[TotalPrice]]), "True", "False")</f>
        <v>True</v>
      </c>
      <c r="P87" t="str">
        <f>IF((Sheet1[[#This Row],[ItemsInCart]]&gt;=Sheet1[[#This Row],[Quantity]]), "Good", "Bad")</f>
        <v>Good</v>
      </c>
      <c r="Q87" t="str">
        <f t="shared" si="5"/>
        <v>OK</v>
      </c>
      <c r="R87" t="str">
        <f t="shared" si="6"/>
        <v>GOOD</v>
      </c>
      <c r="S87">
        <f t="shared" si="7"/>
        <v>0</v>
      </c>
      <c r="T87">
        <f t="shared" si="8"/>
        <v>0</v>
      </c>
      <c r="U87" t="str">
        <f t="shared" si="9"/>
        <v>OK</v>
      </c>
    </row>
    <row r="88" spans="1:21">
      <c r="A88" t="s">
        <v>100</v>
      </c>
      <c r="B88" t="s">
        <v>4366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 t="str">
        <f>IF((Sheet1[[#This Row],[Quantity]]*Sheet1[[#This Row],[UnitPrice]])=(Sheet1[[#This Row],[TotalPrice]]), "True", "False")</f>
        <v>True</v>
      </c>
      <c r="P88" t="str">
        <f>IF((Sheet1[[#This Row],[ItemsInCart]]&gt;=Sheet1[[#This Row],[Quantity]]), "Good", "Bad")</f>
        <v>Good</v>
      </c>
      <c r="Q88" t="str">
        <f t="shared" si="5"/>
        <v>OK</v>
      </c>
      <c r="R88" t="str">
        <f t="shared" si="6"/>
        <v>BAD</v>
      </c>
      <c r="S88">
        <f t="shared" si="7"/>
        <v>0</v>
      </c>
      <c r="T88">
        <f t="shared" si="8"/>
        <v>1</v>
      </c>
      <c r="U88" t="str">
        <f t="shared" si="9"/>
        <v>REVIEW_RETURN</v>
      </c>
    </row>
    <row r="89" spans="1:21">
      <c r="A89" t="s">
        <v>101</v>
      </c>
      <c r="B89" t="s">
        <v>4367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 t="str">
        <f>IF((Sheet1[[#This Row],[Quantity]]*Sheet1[[#This Row],[UnitPrice]])=(Sheet1[[#This Row],[TotalPrice]]), "True", "False")</f>
        <v>True</v>
      </c>
      <c r="P89" t="str">
        <f>IF((Sheet1[[#This Row],[ItemsInCart]]&gt;=Sheet1[[#This Row],[Quantity]]), "Good", "Bad")</f>
        <v>Good</v>
      </c>
      <c r="Q89" t="str">
        <f t="shared" si="5"/>
        <v>OK</v>
      </c>
      <c r="R89" t="str">
        <f t="shared" si="6"/>
        <v>GOOD</v>
      </c>
      <c r="S89">
        <f t="shared" si="7"/>
        <v>0</v>
      </c>
      <c r="T89">
        <f t="shared" si="8"/>
        <v>0</v>
      </c>
      <c r="U89" t="str">
        <f t="shared" si="9"/>
        <v>OK</v>
      </c>
    </row>
    <row r="90" spans="1:21">
      <c r="A90" t="s">
        <v>102</v>
      </c>
      <c r="B90" t="s">
        <v>4368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4961</v>
      </c>
      <c r="M90" t="s">
        <v>4282</v>
      </c>
      <c r="N90">
        <v>344.43</v>
      </c>
      <c r="O90" t="str">
        <f>IF((Sheet1[[#This Row],[Quantity]]*Sheet1[[#This Row],[UnitPrice]])=(Sheet1[[#This Row],[TotalPrice]]), "True", "False")</f>
        <v>True</v>
      </c>
      <c r="P90" t="str">
        <f>IF((Sheet1[[#This Row],[ItemsInCart]]&gt;=Sheet1[[#This Row],[Quantity]]), "Good", "Bad")</f>
        <v>Good</v>
      </c>
      <c r="Q90" t="str">
        <f t="shared" si="5"/>
        <v>OK</v>
      </c>
      <c r="R90" t="str">
        <f t="shared" si="6"/>
        <v>BAD</v>
      </c>
      <c r="S90">
        <f t="shared" si="7"/>
        <v>0</v>
      </c>
      <c r="T90">
        <f t="shared" si="8"/>
        <v>1</v>
      </c>
      <c r="U90" t="str">
        <f t="shared" si="9"/>
        <v>REVIEW_RETURN</v>
      </c>
    </row>
    <row r="91" spans="1:21">
      <c r="A91" t="s">
        <v>103</v>
      </c>
      <c r="B91" t="s">
        <v>4369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 t="str">
        <f>IF((Sheet1[[#This Row],[Quantity]]*Sheet1[[#This Row],[UnitPrice]])=(Sheet1[[#This Row],[TotalPrice]]), "True", "False")</f>
        <v>True</v>
      </c>
      <c r="P91" t="str">
        <f>IF((Sheet1[[#This Row],[ItemsInCart]]&gt;=Sheet1[[#This Row],[Quantity]]), "Good", "Bad")</f>
        <v>Good</v>
      </c>
      <c r="Q91" t="str">
        <f t="shared" si="5"/>
        <v>OK</v>
      </c>
      <c r="R91" t="str">
        <f t="shared" si="6"/>
        <v>BAD</v>
      </c>
      <c r="S91">
        <f t="shared" si="7"/>
        <v>0</v>
      </c>
      <c r="T91">
        <f t="shared" si="8"/>
        <v>1</v>
      </c>
      <c r="U91" t="str">
        <f t="shared" si="9"/>
        <v>REVIEW_RETURN</v>
      </c>
    </row>
    <row r="92" spans="1:21">
      <c r="A92" t="s">
        <v>104</v>
      </c>
      <c r="B92" t="s">
        <v>4370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 t="str">
        <f>IF((Sheet1[[#This Row],[Quantity]]*Sheet1[[#This Row],[UnitPrice]])=(Sheet1[[#This Row],[TotalPrice]]), "True", "False")</f>
        <v>True</v>
      </c>
      <c r="P92" t="str">
        <f>IF((Sheet1[[#This Row],[ItemsInCart]]&gt;=Sheet1[[#This Row],[Quantity]]), "Good", "Bad")</f>
        <v>Good</v>
      </c>
      <c r="Q92" t="str">
        <f t="shared" si="5"/>
        <v>OK</v>
      </c>
      <c r="R92" t="str">
        <f t="shared" si="6"/>
        <v>GOOD</v>
      </c>
      <c r="S92">
        <f t="shared" si="7"/>
        <v>0</v>
      </c>
      <c r="T92">
        <f t="shared" si="8"/>
        <v>0</v>
      </c>
      <c r="U92" t="str">
        <f t="shared" si="9"/>
        <v>OK</v>
      </c>
    </row>
    <row r="93" spans="1:21">
      <c r="A93" t="s">
        <v>105</v>
      </c>
      <c r="B93" t="s">
        <v>4371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 t="str">
        <f>IF((Sheet1[[#This Row],[Quantity]]*Sheet1[[#This Row],[UnitPrice]])=(Sheet1[[#This Row],[TotalPrice]]), "True", "False")</f>
        <v>True</v>
      </c>
      <c r="P93" t="str">
        <f>IF((Sheet1[[#This Row],[ItemsInCart]]&gt;=Sheet1[[#This Row],[Quantity]]), "Good", "Bad")</f>
        <v>Good</v>
      </c>
      <c r="Q93" t="str">
        <f t="shared" si="5"/>
        <v>OK</v>
      </c>
      <c r="R93" t="str">
        <f t="shared" si="6"/>
        <v>GOOD</v>
      </c>
      <c r="S93">
        <f t="shared" si="7"/>
        <v>0</v>
      </c>
      <c r="T93">
        <f t="shared" si="8"/>
        <v>0</v>
      </c>
      <c r="U93" t="str">
        <f t="shared" si="9"/>
        <v>OK</v>
      </c>
    </row>
    <row r="94" spans="1:21">
      <c r="A94" t="s">
        <v>106</v>
      </c>
      <c r="B94" t="s">
        <v>4372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 t="str">
        <f>IF((Sheet1[[#This Row],[Quantity]]*Sheet1[[#This Row],[UnitPrice]])=(Sheet1[[#This Row],[TotalPrice]]), "True", "False")</f>
        <v>True</v>
      </c>
      <c r="P94" t="str">
        <f>IF((Sheet1[[#This Row],[ItemsInCart]]&gt;=Sheet1[[#This Row],[Quantity]]), "Good", "Bad")</f>
        <v>Good</v>
      </c>
      <c r="Q94" t="str">
        <f t="shared" si="5"/>
        <v>OK</v>
      </c>
      <c r="R94" t="str">
        <f t="shared" si="6"/>
        <v>GOOD</v>
      </c>
      <c r="S94">
        <f t="shared" si="7"/>
        <v>0</v>
      </c>
      <c r="T94">
        <f t="shared" si="8"/>
        <v>0</v>
      </c>
      <c r="U94" t="str">
        <f t="shared" si="9"/>
        <v>OK</v>
      </c>
    </row>
    <row r="95" spans="1:21">
      <c r="A95" t="s">
        <v>107</v>
      </c>
      <c r="B95" t="s">
        <v>4373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4961</v>
      </c>
      <c r="M95" t="s">
        <v>4279</v>
      </c>
      <c r="N95">
        <v>1724.04</v>
      </c>
      <c r="O95" t="str">
        <f>IF((Sheet1[[#This Row],[Quantity]]*Sheet1[[#This Row],[UnitPrice]])=(Sheet1[[#This Row],[TotalPrice]]), "True", "False")</f>
        <v>True</v>
      </c>
      <c r="P95" t="str">
        <f>IF((Sheet1[[#This Row],[ItemsInCart]]&gt;=Sheet1[[#This Row],[Quantity]]), "Good", "Bad")</f>
        <v>Good</v>
      </c>
      <c r="Q95" t="str">
        <f t="shared" si="5"/>
        <v>OK</v>
      </c>
      <c r="R95" t="str">
        <f t="shared" si="6"/>
        <v>GOOD</v>
      </c>
      <c r="S95">
        <f t="shared" si="7"/>
        <v>0</v>
      </c>
      <c r="T95">
        <f t="shared" si="8"/>
        <v>0</v>
      </c>
      <c r="U95" t="str">
        <f t="shared" si="9"/>
        <v>OK</v>
      </c>
    </row>
    <row r="96" spans="1:21">
      <c r="A96" t="s">
        <v>108</v>
      </c>
      <c r="B96" t="s">
        <v>4374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 t="str">
        <f>IF((Sheet1[[#This Row],[Quantity]]*Sheet1[[#This Row],[UnitPrice]])=(Sheet1[[#This Row],[TotalPrice]]), "True", "False")</f>
        <v>True</v>
      </c>
      <c r="P96" t="str">
        <f>IF((Sheet1[[#This Row],[ItemsInCart]]&gt;=Sheet1[[#This Row],[Quantity]]), "Good", "Bad")</f>
        <v>Good</v>
      </c>
      <c r="Q96" t="str">
        <f t="shared" si="5"/>
        <v>OK</v>
      </c>
      <c r="R96" t="str">
        <f t="shared" si="6"/>
        <v>GOOD</v>
      </c>
      <c r="S96">
        <f t="shared" si="7"/>
        <v>0</v>
      </c>
      <c r="T96">
        <f t="shared" si="8"/>
        <v>0</v>
      </c>
      <c r="U96" t="str">
        <f t="shared" si="9"/>
        <v>OK</v>
      </c>
    </row>
    <row r="97" spans="1:21">
      <c r="A97" t="s">
        <v>109</v>
      </c>
      <c r="B97" t="s">
        <v>4375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4961</v>
      </c>
      <c r="M97" t="s">
        <v>4279</v>
      </c>
      <c r="N97">
        <v>470.04</v>
      </c>
      <c r="O97" t="str">
        <f>IF((Sheet1[[#This Row],[Quantity]]*Sheet1[[#This Row],[UnitPrice]])=(Sheet1[[#This Row],[TotalPrice]]), "True", "False")</f>
        <v>True</v>
      </c>
      <c r="P97" t="str">
        <f>IF((Sheet1[[#This Row],[ItemsInCart]]&gt;=Sheet1[[#This Row],[Quantity]]), "Good", "Bad")</f>
        <v>Good</v>
      </c>
      <c r="Q97" t="str">
        <f t="shared" si="5"/>
        <v>OK</v>
      </c>
      <c r="R97" t="str">
        <f t="shared" si="6"/>
        <v>GOOD</v>
      </c>
      <c r="S97">
        <f t="shared" si="7"/>
        <v>0</v>
      </c>
      <c r="T97">
        <f t="shared" si="8"/>
        <v>0</v>
      </c>
      <c r="U97" t="str">
        <f t="shared" si="9"/>
        <v>OK</v>
      </c>
    </row>
    <row r="98" spans="1:21">
      <c r="A98" t="s">
        <v>110</v>
      </c>
      <c r="B98" t="s">
        <v>4376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4961</v>
      </c>
      <c r="M98" t="s">
        <v>4278</v>
      </c>
      <c r="N98">
        <v>465.66</v>
      </c>
      <c r="O98" t="str">
        <f>IF((Sheet1[[#This Row],[Quantity]]*Sheet1[[#This Row],[UnitPrice]])=(Sheet1[[#This Row],[TotalPrice]]), "True", "False")</f>
        <v>True</v>
      </c>
      <c r="P98" t="str">
        <f>IF((Sheet1[[#This Row],[ItemsInCart]]&gt;=Sheet1[[#This Row],[Quantity]]), "Good", "Bad")</f>
        <v>Good</v>
      </c>
      <c r="Q98" t="str">
        <f t="shared" si="5"/>
        <v>OK</v>
      </c>
      <c r="R98" t="str">
        <f t="shared" si="6"/>
        <v>GOOD</v>
      </c>
      <c r="S98">
        <f t="shared" si="7"/>
        <v>0</v>
      </c>
      <c r="T98">
        <f t="shared" si="8"/>
        <v>0</v>
      </c>
      <c r="U98" t="str">
        <f t="shared" si="9"/>
        <v>OK</v>
      </c>
    </row>
    <row r="99" spans="1:21">
      <c r="A99" t="s">
        <v>111</v>
      </c>
      <c r="B99" t="s">
        <v>4377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4961</v>
      </c>
      <c r="M99" t="s">
        <v>4280</v>
      </c>
      <c r="N99">
        <v>3097.6</v>
      </c>
      <c r="O99" t="str">
        <f>IF((Sheet1[[#This Row],[Quantity]]*Sheet1[[#This Row],[UnitPrice]])=(Sheet1[[#This Row],[TotalPrice]]), "True", "False")</f>
        <v>True</v>
      </c>
      <c r="P99" t="str">
        <f>IF((Sheet1[[#This Row],[ItemsInCart]]&gt;=Sheet1[[#This Row],[Quantity]]), "Good", "Bad")</f>
        <v>Good</v>
      </c>
      <c r="Q99" t="str">
        <f t="shared" si="5"/>
        <v>OK</v>
      </c>
      <c r="R99" t="str">
        <f t="shared" si="6"/>
        <v>BAD</v>
      </c>
      <c r="S99">
        <f t="shared" si="7"/>
        <v>0</v>
      </c>
      <c r="T99">
        <f t="shared" si="8"/>
        <v>1</v>
      </c>
      <c r="U99" t="str">
        <f t="shared" si="9"/>
        <v>DOCUMENTED</v>
      </c>
    </row>
    <row r="100" spans="1:21">
      <c r="A100" t="s">
        <v>112</v>
      </c>
      <c r="B100" t="s">
        <v>4373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4961</v>
      </c>
      <c r="M100" t="s">
        <v>4280</v>
      </c>
      <c r="N100">
        <v>457.08</v>
      </c>
      <c r="O100" t="str">
        <f>IF((Sheet1[[#This Row],[Quantity]]*Sheet1[[#This Row],[UnitPrice]])=(Sheet1[[#This Row],[TotalPrice]]), "True", "False")</f>
        <v>True</v>
      </c>
      <c r="P100" t="str">
        <f>IF((Sheet1[[#This Row],[ItemsInCart]]&gt;=Sheet1[[#This Row],[Quantity]]), "Good", "Bad")</f>
        <v>Good</v>
      </c>
      <c r="Q100" t="str">
        <f t="shared" si="5"/>
        <v>OK</v>
      </c>
      <c r="R100" t="str">
        <f t="shared" si="6"/>
        <v>BAD</v>
      </c>
      <c r="S100">
        <f t="shared" si="7"/>
        <v>0</v>
      </c>
      <c r="T100">
        <f t="shared" si="8"/>
        <v>1</v>
      </c>
      <c r="U100" t="str">
        <f t="shared" si="9"/>
        <v>DOCUMENTED</v>
      </c>
    </row>
    <row r="101" spans="1:21">
      <c r="A101" t="s">
        <v>113</v>
      </c>
      <c r="B101" t="s">
        <v>4378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 t="str">
        <f>IF((Sheet1[[#This Row],[Quantity]]*Sheet1[[#This Row],[UnitPrice]])=(Sheet1[[#This Row],[TotalPrice]]), "True", "False")</f>
        <v>True</v>
      </c>
      <c r="P101" t="str">
        <f>IF((Sheet1[[#This Row],[ItemsInCart]]&gt;=Sheet1[[#This Row],[Quantity]]), "Good", "Bad")</f>
        <v>Good</v>
      </c>
      <c r="Q101" t="str">
        <f t="shared" si="5"/>
        <v>OK</v>
      </c>
      <c r="R101" t="str">
        <f t="shared" si="6"/>
        <v>BAD</v>
      </c>
      <c r="S101">
        <f t="shared" si="7"/>
        <v>0</v>
      </c>
      <c r="T101">
        <f t="shared" si="8"/>
        <v>1</v>
      </c>
      <c r="U101" t="str">
        <f t="shared" si="9"/>
        <v>REVIEW_RETURN</v>
      </c>
    </row>
    <row r="102" spans="1:21">
      <c r="A102" t="s">
        <v>114</v>
      </c>
      <c r="B102" t="s">
        <v>4379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4961</v>
      </c>
      <c r="M102" t="s">
        <v>4281</v>
      </c>
      <c r="N102">
        <v>1994.37</v>
      </c>
      <c r="O102" t="str">
        <f>IF((Sheet1[[#This Row],[Quantity]]*Sheet1[[#This Row],[UnitPrice]])=(Sheet1[[#This Row],[TotalPrice]]), "True", "False")</f>
        <v>True</v>
      </c>
      <c r="P102" t="str">
        <f>IF((Sheet1[[#This Row],[ItemsInCart]]&gt;=Sheet1[[#This Row],[Quantity]]), "Good", "Bad")</f>
        <v>Good</v>
      </c>
      <c r="Q102" t="str">
        <f t="shared" si="5"/>
        <v>OK</v>
      </c>
      <c r="R102" t="str">
        <f t="shared" si="6"/>
        <v>GOOD</v>
      </c>
      <c r="S102">
        <f t="shared" si="7"/>
        <v>0</v>
      </c>
      <c r="T102">
        <f t="shared" si="8"/>
        <v>0</v>
      </c>
      <c r="U102" t="str">
        <f t="shared" si="9"/>
        <v>OK</v>
      </c>
    </row>
    <row r="103" spans="1:21">
      <c r="A103" t="s">
        <v>115</v>
      </c>
      <c r="B103" t="s">
        <v>4380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4961</v>
      </c>
      <c r="M103" t="s">
        <v>4282</v>
      </c>
      <c r="N103">
        <v>381.02</v>
      </c>
      <c r="O103" t="str">
        <f>IF((Sheet1[[#This Row],[Quantity]]*Sheet1[[#This Row],[UnitPrice]])=(Sheet1[[#This Row],[TotalPrice]]), "True", "False")</f>
        <v>True</v>
      </c>
      <c r="P103" t="str">
        <f>IF((Sheet1[[#This Row],[ItemsInCart]]&gt;=Sheet1[[#This Row],[Quantity]]), "Good", "Bad")</f>
        <v>Good</v>
      </c>
      <c r="Q103" t="str">
        <f t="shared" si="5"/>
        <v>OK</v>
      </c>
      <c r="R103" t="str">
        <f t="shared" si="6"/>
        <v>GOOD</v>
      </c>
      <c r="S103">
        <f t="shared" si="7"/>
        <v>0</v>
      </c>
      <c r="T103">
        <f t="shared" si="8"/>
        <v>0</v>
      </c>
      <c r="U103" t="str">
        <f t="shared" si="9"/>
        <v>OK</v>
      </c>
    </row>
    <row r="104" spans="1:21">
      <c r="A104" t="s">
        <v>116</v>
      </c>
      <c r="B104" t="s">
        <v>4381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 t="str">
        <f>IF((Sheet1[[#This Row],[Quantity]]*Sheet1[[#This Row],[UnitPrice]])=(Sheet1[[#This Row],[TotalPrice]]), "True", "False")</f>
        <v>True</v>
      </c>
      <c r="P104" t="str">
        <f>IF((Sheet1[[#This Row],[ItemsInCart]]&gt;=Sheet1[[#This Row],[Quantity]]), "Good", "Bad")</f>
        <v>Good</v>
      </c>
      <c r="Q104" t="str">
        <f t="shared" si="5"/>
        <v>OK</v>
      </c>
      <c r="R104" t="str">
        <f t="shared" si="6"/>
        <v>BAD</v>
      </c>
      <c r="S104">
        <f t="shared" si="7"/>
        <v>0</v>
      </c>
      <c r="T104">
        <f t="shared" si="8"/>
        <v>1</v>
      </c>
      <c r="U104" t="str">
        <f t="shared" si="9"/>
        <v>REVIEW_RETURN</v>
      </c>
    </row>
    <row r="105" spans="1:21">
      <c r="A105" t="s">
        <v>117</v>
      </c>
      <c r="B105" t="s">
        <v>4382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 t="str">
        <f>IF((Sheet1[[#This Row],[Quantity]]*Sheet1[[#This Row],[UnitPrice]])=(Sheet1[[#This Row],[TotalPrice]]), "True", "False")</f>
        <v>True</v>
      </c>
      <c r="P105" t="str">
        <f>IF((Sheet1[[#This Row],[ItemsInCart]]&gt;=Sheet1[[#This Row],[Quantity]]), "Good", "Bad")</f>
        <v>Good</v>
      </c>
      <c r="Q105" t="str">
        <f t="shared" si="5"/>
        <v>OK</v>
      </c>
      <c r="R105" t="str">
        <f t="shared" si="6"/>
        <v>BAD</v>
      </c>
      <c r="S105">
        <f t="shared" si="7"/>
        <v>0</v>
      </c>
      <c r="T105">
        <f t="shared" si="8"/>
        <v>1</v>
      </c>
      <c r="U105" t="str">
        <f t="shared" si="9"/>
        <v>REVIEW_RETURN</v>
      </c>
    </row>
    <row r="106" spans="1:21">
      <c r="A106" t="s">
        <v>118</v>
      </c>
      <c r="B106" t="s">
        <v>4383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 t="str">
        <f>IF((Sheet1[[#This Row],[Quantity]]*Sheet1[[#This Row],[UnitPrice]])=(Sheet1[[#This Row],[TotalPrice]]), "True", "False")</f>
        <v>True</v>
      </c>
      <c r="P106" t="str">
        <f>IF((Sheet1[[#This Row],[ItemsInCart]]&gt;=Sheet1[[#This Row],[Quantity]]), "Good", "Bad")</f>
        <v>Good</v>
      </c>
      <c r="Q106" t="str">
        <f t="shared" si="5"/>
        <v>OK</v>
      </c>
      <c r="R106" t="str">
        <f t="shared" si="6"/>
        <v>GOOD</v>
      </c>
      <c r="S106">
        <f t="shared" si="7"/>
        <v>0</v>
      </c>
      <c r="T106">
        <f t="shared" si="8"/>
        <v>0</v>
      </c>
      <c r="U106" t="str">
        <f t="shared" si="9"/>
        <v>OK</v>
      </c>
    </row>
    <row r="107" spans="1:21">
      <c r="A107" t="s">
        <v>119</v>
      </c>
      <c r="B107" t="s">
        <v>4384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4961</v>
      </c>
      <c r="M107" t="s">
        <v>4281</v>
      </c>
      <c r="N107">
        <v>556.20000000000005</v>
      </c>
      <c r="O107" t="str">
        <f>IF((Sheet1[[#This Row],[Quantity]]*Sheet1[[#This Row],[UnitPrice]])=(Sheet1[[#This Row],[TotalPrice]]), "True", "False")</f>
        <v>True</v>
      </c>
      <c r="P107" t="str">
        <f>IF((Sheet1[[#This Row],[ItemsInCart]]&gt;=Sheet1[[#This Row],[Quantity]]), "Good", "Bad")</f>
        <v>Good</v>
      </c>
      <c r="Q107" t="str">
        <f t="shared" si="5"/>
        <v>OK</v>
      </c>
      <c r="R107" t="str">
        <f t="shared" si="6"/>
        <v>BAD</v>
      </c>
      <c r="S107">
        <f t="shared" si="7"/>
        <v>0</v>
      </c>
      <c r="T107">
        <f t="shared" si="8"/>
        <v>1</v>
      </c>
      <c r="U107" t="str">
        <f t="shared" si="9"/>
        <v>REVIEW_RETURN</v>
      </c>
    </row>
    <row r="108" spans="1:21">
      <c r="A108" t="s">
        <v>120</v>
      </c>
      <c r="B108" t="s">
        <v>4385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 t="str">
        <f>IF((Sheet1[[#This Row],[Quantity]]*Sheet1[[#This Row],[UnitPrice]])=(Sheet1[[#This Row],[TotalPrice]]), "True", "False")</f>
        <v>True</v>
      </c>
      <c r="P108" t="str">
        <f>IF((Sheet1[[#This Row],[ItemsInCart]]&gt;=Sheet1[[#This Row],[Quantity]]), "Good", "Bad")</f>
        <v>Good</v>
      </c>
      <c r="Q108" t="str">
        <f t="shared" si="5"/>
        <v>OK</v>
      </c>
      <c r="R108" t="str">
        <f t="shared" si="6"/>
        <v>BAD</v>
      </c>
      <c r="S108">
        <f t="shared" si="7"/>
        <v>0</v>
      </c>
      <c r="T108">
        <f t="shared" si="8"/>
        <v>1</v>
      </c>
      <c r="U108" t="str">
        <f t="shared" si="9"/>
        <v>REVIEW_RETURN</v>
      </c>
    </row>
    <row r="109" spans="1:21">
      <c r="A109" t="s">
        <v>121</v>
      </c>
      <c r="B109" t="s">
        <v>4297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 t="str">
        <f>IF((Sheet1[[#This Row],[Quantity]]*Sheet1[[#This Row],[UnitPrice]])=(Sheet1[[#This Row],[TotalPrice]]), "True", "False")</f>
        <v>True</v>
      </c>
      <c r="P109" t="str">
        <f>IF((Sheet1[[#This Row],[ItemsInCart]]&gt;=Sheet1[[#This Row],[Quantity]]), "Good", "Bad")</f>
        <v>Good</v>
      </c>
      <c r="Q109" t="str">
        <f t="shared" si="5"/>
        <v>OK</v>
      </c>
      <c r="R109" t="str">
        <f t="shared" si="6"/>
        <v>GOOD</v>
      </c>
      <c r="S109">
        <f t="shared" si="7"/>
        <v>0</v>
      </c>
      <c r="T109">
        <f t="shared" si="8"/>
        <v>0</v>
      </c>
      <c r="U109" t="str">
        <f t="shared" si="9"/>
        <v>OK</v>
      </c>
    </row>
    <row r="110" spans="1:21">
      <c r="A110" t="s">
        <v>122</v>
      </c>
      <c r="B110" t="s">
        <v>4386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 t="str">
        <f>IF((Sheet1[[#This Row],[Quantity]]*Sheet1[[#This Row],[UnitPrice]])=(Sheet1[[#This Row],[TotalPrice]]), "True", "False")</f>
        <v>True</v>
      </c>
      <c r="P110" t="str">
        <f>IF((Sheet1[[#This Row],[ItemsInCart]]&gt;=Sheet1[[#This Row],[Quantity]]), "Good", "Bad")</f>
        <v>Good</v>
      </c>
      <c r="Q110" t="str">
        <f t="shared" si="5"/>
        <v>OK</v>
      </c>
      <c r="R110" t="str">
        <f t="shared" si="6"/>
        <v>GOOD</v>
      </c>
      <c r="S110">
        <f t="shared" si="7"/>
        <v>0</v>
      </c>
      <c r="T110">
        <f t="shared" si="8"/>
        <v>0</v>
      </c>
      <c r="U110" t="str">
        <f t="shared" si="9"/>
        <v>OK</v>
      </c>
    </row>
    <row r="111" spans="1:21">
      <c r="A111" t="s">
        <v>123</v>
      </c>
      <c r="B111" t="s">
        <v>4387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 t="str">
        <f>IF((Sheet1[[#This Row],[Quantity]]*Sheet1[[#This Row],[UnitPrice]])=(Sheet1[[#This Row],[TotalPrice]]), "True", "False")</f>
        <v>True</v>
      </c>
      <c r="P111" t="str">
        <f>IF((Sheet1[[#This Row],[ItemsInCart]]&gt;=Sheet1[[#This Row],[Quantity]]), "Good", "Bad")</f>
        <v>Good</v>
      </c>
      <c r="Q111" t="str">
        <f t="shared" si="5"/>
        <v>OK</v>
      </c>
      <c r="R111" t="str">
        <f t="shared" si="6"/>
        <v>GOOD</v>
      </c>
      <c r="S111">
        <f t="shared" si="7"/>
        <v>0</v>
      </c>
      <c r="T111">
        <f t="shared" si="8"/>
        <v>0</v>
      </c>
      <c r="U111" t="str">
        <f t="shared" si="9"/>
        <v>OK</v>
      </c>
    </row>
    <row r="112" spans="1:21">
      <c r="A112" t="s">
        <v>124</v>
      </c>
      <c r="B112" t="s">
        <v>4388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 t="str">
        <f>IF((Sheet1[[#This Row],[Quantity]]*Sheet1[[#This Row],[UnitPrice]])=(Sheet1[[#This Row],[TotalPrice]]), "True", "False")</f>
        <v>True</v>
      </c>
      <c r="P112" t="str">
        <f>IF((Sheet1[[#This Row],[ItemsInCart]]&gt;=Sheet1[[#This Row],[Quantity]]), "Good", "Bad")</f>
        <v>Good</v>
      </c>
      <c r="Q112" t="str">
        <f t="shared" si="5"/>
        <v>OK</v>
      </c>
      <c r="R112" t="str">
        <f t="shared" si="6"/>
        <v>BAD</v>
      </c>
      <c r="S112">
        <f t="shared" si="7"/>
        <v>0</v>
      </c>
      <c r="T112">
        <f t="shared" si="8"/>
        <v>1</v>
      </c>
      <c r="U112" t="str">
        <f t="shared" si="9"/>
        <v>DOCUMENTED</v>
      </c>
    </row>
    <row r="113" spans="1:21">
      <c r="A113" t="s">
        <v>125</v>
      </c>
      <c r="B113" t="s">
        <v>4389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 t="str">
        <f>IF((Sheet1[[#This Row],[Quantity]]*Sheet1[[#This Row],[UnitPrice]])=(Sheet1[[#This Row],[TotalPrice]]), "True", "False")</f>
        <v>True</v>
      </c>
      <c r="P113" t="str">
        <f>IF((Sheet1[[#This Row],[ItemsInCart]]&gt;=Sheet1[[#This Row],[Quantity]]), "Good", "Bad")</f>
        <v>Good</v>
      </c>
      <c r="Q113" t="str">
        <f t="shared" si="5"/>
        <v>OK</v>
      </c>
      <c r="R113" t="str">
        <f t="shared" si="6"/>
        <v>BAD</v>
      </c>
      <c r="S113">
        <f t="shared" si="7"/>
        <v>0</v>
      </c>
      <c r="T113">
        <f t="shared" si="8"/>
        <v>1</v>
      </c>
      <c r="U113" t="str">
        <f t="shared" si="9"/>
        <v>REVIEW_RETURN</v>
      </c>
    </row>
    <row r="114" spans="1:21">
      <c r="A114" t="s">
        <v>126</v>
      </c>
      <c r="B114" t="s">
        <v>4390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 t="str">
        <f>IF((Sheet1[[#This Row],[Quantity]]*Sheet1[[#This Row],[UnitPrice]])=(Sheet1[[#This Row],[TotalPrice]]), "True", "False")</f>
        <v>True</v>
      </c>
      <c r="P114" t="str">
        <f>IF((Sheet1[[#This Row],[ItemsInCart]]&gt;=Sheet1[[#This Row],[Quantity]]), "Good", "Bad")</f>
        <v>Good</v>
      </c>
      <c r="Q114" t="str">
        <f t="shared" si="5"/>
        <v>OK</v>
      </c>
      <c r="R114" t="str">
        <f t="shared" si="6"/>
        <v>BAD</v>
      </c>
      <c r="S114">
        <f t="shared" si="7"/>
        <v>0</v>
      </c>
      <c r="T114">
        <f t="shared" si="8"/>
        <v>1</v>
      </c>
      <c r="U114" t="str">
        <f t="shared" si="9"/>
        <v>REVIEW_RETURN</v>
      </c>
    </row>
    <row r="115" spans="1:21">
      <c r="A115" t="s">
        <v>127</v>
      </c>
      <c r="B115" t="s">
        <v>4391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 t="str">
        <f>IF((Sheet1[[#This Row],[Quantity]]*Sheet1[[#This Row],[UnitPrice]])=(Sheet1[[#This Row],[TotalPrice]]), "True", "False")</f>
        <v>True</v>
      </c>
      <c r="P115" t="str">
        <f>IF((Sheet1[[#This Row],[ItemsInCart]]&gt;=Sheet1[[#This Row],[Quantity]]), "Good", "Bad")</f>
        <v>Good</v>
      </c>
      <c r="Q115" t="str">
        <f t="shared" si="5"/>
        <v>OK</v>
      </c>
      <c r="R115" t="str">
        <f t="shared" si="6"/>
        <v>GOOD</v>
      </c>
      <c r="S115">
        <f t="shared" si="7"/>
        <v>0</v>
      </c>
      <c r="T115">
        <f t="shared" si="8"/>
        <v>0</v>
      </c>
      <c r="U115" t="str">
        <f t="shared" si="9"/>
        <v>OK</v>
      </c>
    </row>
    <row r="116" spans="1:21">
      <c r="A116" t="s">
        <v>128</v>
      </c>
      <c r="B116" t="s">
        <v>4392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 t="str">
        <f>IF((Sheet1[[#This Row],[Quantity]]*Sheet1[[#This Row],[UnitPrice]])=(Sheet1[[#This Row],[TotalPrice]]), "True", "False")</f>
        <v>True</v>
      </c>
      <c r="P116" t="str">
        <f>IF((Sheet1[[#This Row],[ItemsInCart]]&gt;=Sheet1[[#This Row],[Quantity]]), "Good", "Bad")</f>
        <v>Good</v>
      </c>
      <c r="Q116" t="str">
        <f t="shared" si="5"/>
        <v>OK</v>
      </c>
      <c r="R116" t="str">
        <f t="shared" si="6"/>
        <v>BAD</v>
      </c>
      <c r="S116">
        <f t="shared" si="7"/>
        <v>0</v>
      </c>
      <c r="T116">
        <f t="shared" si="8"/>
        <v>1</v>
      </c>
      <c r="U116" t="str">
        <f t="shared" si="9"/>
        <v>DOCUMENTED</v>
      </c>
    </row>
    <row r="117" spans="1:21">
      <c r="A117" t="s">
        <v>129</v>
      </c>
      <c r="B117" t="s">
        <v>4393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 t="str">
        <f>IF((Sheet1[[#This Row],[Quantity]]*Sheet1[[#This Row],[UnitPrice]])=(Sheet1[[#This Row],[TotalPrice]]), "True", "False")</f>
        <v>True</v>
      </c>
      <c r="P117" t="str">
        <f>IF((Sheet1[[#This Row],[ItemsInCart]]&gt;=Sheet1[[#This Row],[Quantity]]), "Good", "Bad")</f>
        <v>Good</v>
      </c>
      <c r="Q117" t="str">
        <f t="shared" si="5"/>
        <v>OK</v>
      </c>
      <c r="R117" t="str">
        <f t="shared" si="6"/>
        <v>GOOD</v>
      </c>
      <c r="S117">
        <f t="shared" si="7"/>
        <v>0</v>
      </c>
      <c r="T117">
        <f t="shared" si="8"/>
        <v>0</v>
      </c>
      <c r="U117" t="str">
        <f t="shared" si="9"/>
        <v>OK</v>
      </c>
    </row>
    <row r="118" spans="1:21">
      <c r="A118" t="s">
        <v>130</v>
      </c>
      <c r="B118" t="s">
        <v>4394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 t="str">
        <f>IF((Sheet1[[#This Row],[Quantity]]*Sheet1[[#This Row],[UnitPrice]])=(Sheet1[[#This Row],[TotalPrice]]), "True", "False")</f>
        <v>True</v>
      </c>
      <c r="P118" t="str">
        <f>IF((Sheet1[[#This Row],[ItemsInCart]]&gt;=Sheet1[[#This Row],[Quantity]]), "Good", "Bad")</f>
        <v>Good</v>
      </c>
      <c r="Q118" t="str">
        <f t="shared" si="5"/>
        <v>OK</v>
      </c>
      <c r="R118" t="str">
        <f t="shared" si="6"/>
        <v>BAD</v>
      </c>
      <c r="S118">
        <f t="shared" si="7"/>
        <v>0</v>
      </c>
      <c r="T118">
        <f t="shared" si="8"/>
        <v>1</v>
      </c>
      <c r="U118" t="str">
        <f t="shared" si="9"/>
        <v>REVIEW_RETURN</v>
      </c>
    </row>
    <row r="119" spans="1:21">
      <c r="A119" t="s">
        <v>131</v>
      </c>
      <c r="B119" t="s">
        <v>4381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 t="str">
        <f>IF((Sheet1[[#This Row],[Quantity]]*Sheet1[[#This Row],[UnitPrice]])=(Sheet1[[#This Row],[TotalPrice]]), "True", "False")</f>
        <v>True</v>
      </c>
      <c r="P119" t="str">
        <f>IF((Sheet1[[#This Row],[ItemsInCart]]&gt;=Sheet1[[#This Row],[Quantity]]), "Good", "Bad")</f>
        <v>Good</v>
      </c>
      <c r="Q119" t="str">
        <f t="shared" si="5"/>
        <v>OK</v>
      </c>
      <c r="R119" t="str">
        <f t="shared" si="6"/>
        <v>BAD</v>
      </c>
      <c r="S119">
        <f t="shared" si="7"/>
        <v>0</v>
      </c>
      <c r="T119">
        <f t="shared" si="8"/>
        <v>1</v>
      </c>
      <c r="U119" t="str">
        <f t="shared" si="9"/>
        <v>REVIEW_RETURN</v>
      </c>
    </row>
    <row r="120" spans="1:21">
      <c r="A120" t="s">
        <v>132</v>
      </c>
      <c r="B120" t="s">
        <v>4395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 t="str">
        <f>IF((Sheet1[[#This Row],[Quantity]]*Sheet1[[#This Row],[UnitPrice]])=(Sheet1[[#This Row],[TotalPrice]]), "True", "False")</f>
        <v>True</v>
      </c>
      <c r="P120" t="str">
        <f>IF((Sheet1[[#This Row],[ItemsInCart]]&gt;=Sheet1[[#This Row],[Quantity]]), "Good", "Bad")</f>
        <v>Good</v>
      </c>
      <c r="Q120" t="str">
        <f t="shared" si="5"/>
        <v>OK</v>
      </c>
      <c r="R120" t="str">
        <f t="shared" si="6"/>
        <v>GOOD</v>
      </c>
      <c r="S120">
        <f t="shared" si="7"/>
        <v>0</v>
      </c>
      <c r="T120">
        <f t="shared" si="8"/>
        <v>0</v>
      </c>
      <c r="U120" t="str">
        <f t="shared" si="9"/>
        <v>OK</v>
      </c>
    </row>
    <row r="121" spans="1:21">
      <c r="A121" t="s">
        <v>133</v>
      </c>
      <c r="B121" t="s">
        <v>4396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 t="str">
        <f>IF((Sheet1[[#This Row],[Quantity]]*Sheet1[[#This Row],[UnitPrice]])=(Sheet1[[#This Row],[TotalPrice]]), "True", "False")</f>
        <v>True</v>
      </c>
      <c r="P121" t="str">
        <f>IF((Sheet1[[#This Row],[ItemsInCart]]&gt;=Sheet1[[#This Row],[Quantity]]), "Good", "Bad")</f>
        <v>Good</v>
      </c>
      <c r="Q121" t="str">
        <f t="shared" si="5"/>
        <v>OK</v>
      </c>
      <c r="R121" t="str">
        <f t="shared" si="6"/>
        <v>GOOD</v>
      </c>
      <c r="S121">
        <f t="shared" si="7"/>
        <v>0</v>
      </c>
      <c r="T121">
        <f t="shared" si="8"/>
        <v>0</v>
      </c>
      <c r="U121" t="str">
        <f t="shared" si="9"/>
        <v>OK</v>
      </c>
    </row>
    <row r="122" spans="1:21">
      <c r="A122" t="s">
        <v>134</v>
      </c>
      <c r="B122" t="s">
        <v>4397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 t="str">
        <f>IF((Sheet1[[#This Row],[Quantity]]*Sheet1[[#This Row],[UnitPrice]])=(Sheet1[[#This Row],[TotalPrice]]), "True", "False")</f>
        <v>True</v>
      </c>
      <c r="P122" t="str">
        <f>IF((Sheet1[[#This Row],[ItemsInCart]]&gt;=Sheet1[[#This Row],[Quantity]]), "Good", "Bad")</f>
        <v>Good</v>
      </c>
      <c r="Q122" t="str">
        <f t="shared" si="5"/>
        <v>OK</v>
      </c>
      <c r="R122" t="str">
        <f t="shared" si="6"/>
        <v>BAD</v>
      </c>
      <c r="S122">
        <f t="shared" si="7"/>
        <v>0</v>
      </c>
      <c r="T122">
        <f t="shared" si="8"/>
        <v>1</v>
      </c>
      <c r="U122" t="str">
        <f t="shared" si="9"/>
        <v>REVIEW_RETURN</v>
      </c>
    </row>
    <row r="123" spans="1:21">
      <c r="A123" t="s">
        <v>135</v>
      </c>
      <c r="B123" t="s">
        <v>4398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 t="str">
        <f>IF((Sheet1[[#This Row],[Quantity]]*Sheet1[[#This Row],[UnitPrice]])=(Sheet1[[#This Row],[TotalPrice]]), "True", "False")</f>
        <v>True</v>
      </c>
      <c r="P123" t="str">
        <f>IF((Sheet1[[#This Row],[ItemsInCart]]&gt;=Sheet1[[#This Row],[Quantity]]), "Good", "Bad")</f>
        <v>Good</v>
      </c>
      <c r="Q123" t="str">
        <f t="shared" si="5"/>
        <v>OK</v>
      </c>
      <c r="R123" t="str">
        <f t="shared" si="6"/>
        <v>BAD</v>
      </c>
      <c r="S123">
        <f t="shared" si="7"/>
        <v>0</v>
      </c>
      <c r="T123">
        <f t="shared" si="8"/>
        <v>1</v>
      </c>
      <c r="U123" t="str">
        <f t="shared" si="9"/>
        <v>REVIEW_RETURN</v>
      </c>
    </row>
    <row r="124" spans="1:21">
      <c r="A124" t="s">
        <v>136</v>
      </c>
      <c r="B124" t="s">
        <v>4399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4961</v>
      </c>
      <c r="M124" t="s">
        <v>4281</v>
      </c>
      <c r="N124">
        <v>1066.04</v>
      </c>
      <c r="O124" t="str">
        <f>IF((Sheet1[[#This Row],[Quantity]]*Sheet1[[#This Row],[UnitPrice]])=(Sheet1[[#This Row],[TotalPrice]]), "True", "False")</f>
        <v>True</v>
      </c>
      <c r="P124" t="str">
        <f>IF((Sheet1[[#This Row],[ItemsInCart]]&gt;=Sheet1[[#This Row],[Quantity]]), "Good", "Bad")</f>
        <v>Good</v>
      </c>
      <c r="Q124" t="str">
        <f t="shared" si="5"/>
        <v>OK</v>
      </c>
      <c r="R124" t="str">
        <f t="shared" si="6"/>
        <v>GOOD</v>
      </c>
      <c r="S124">
        <f t="shared" si="7"/>
        <v>0</v>
      </c>
      <c r="T124">
        <f t="shared" si="8"/>
        <v>0</v>
      </c>
      <c r="U124" t="str">
        <f t="shared" si="9"/>
        <v>OK</v>
      </c>
    </row>
    <row r="125" spans="1:21">
      <c r="A125" t="s">
        <v>137</v>
      </c>
      <c r="B125" t="s">
        <v>4400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4961</v>
      </c>
      <c r="M125" t="s">
        <v>4278</v>
      </c>
      <c r="N125">
        <v>834.12000000000012</v>
      </c>
      <c r="O125" t="str">
        <f>IF((Sheet1[[#This Row],[Quantity]]*Sheet1[[#This Row],[UnitPrice]])=(Sheet1[[#This Row],[TotalPrice]]), "True", "False")</f>
        <v>True</v>
      </c>
      <c r="P125" t="str">
        <f>IF((Sheet1[[#This Row],[ItemsInCart]]&gt;=Sheet1[[#This Row],[Quantity]]), "Good", "Bad")</f>
        <v>Good</v>
      </c>
      <c r="Q125" t="str">
        <f t="shared" si="5"/>
        <v>OK</v>
      </c>
      <c r="R125" t="str">
        <f t="shared" si="6"/>
        <v>GOOD</v>
      </c>
      <c r="S125">
        <f t="shared" si="7"/>
        <v>0</v>
      </c>
      <c r="T125">
        <f t="shared" si="8"/>
        <v>0</v>
      </c>
      <c r="U125" t="str">
        <f t="shared" si="9"/>
        <v>OK</v>
      </c>
    </row>
    <row r="126" spans="1:21">
      <c r="A126" t="s">
        <v>138</v>
      </c>
      <c r="B126" t="s">
        <v>4401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4961</v>
      </c>
      <c r="M126" t="s">
        <v>4282</v>
      </c>
      <c r="N126">
        <v>1135.1600000000001</v>
      </c>
      <c r="O126" t="str">
        <f>IF((Sheet1[[#This Row],[Quantity]]*Sheet1[[#This Row],[UnitPrice]])=(Sheet1[[#This Row],[TotalPrice]]), "True", "False")</f>
        <v>True</v>
      </c>
      <c r="P126" t="str">
        <f>IF((Sheet1[[#This Row],[ItemsInCart]]&gt;=Sheet1[[#This Row],[Quantity]]), "Good", "Bad")</f>
        <v>Good</v>
      </c>
      <c r="Q126" t="str">
        <f t="shared" si="5"/>
        <v>OK</v>
      </c>
      <c r="R126" t="str">
        <f t="shared" si="6"/>
        <v>BAD</v>
      </c>
      <c r="S126">
        <f t="shared" si="7"/>
        <v>0</v>
      </c>
      <c r="T126">
        <f t="shared" si="8"/>
        <v>1</v>
      </c>
      <c r="U126" t="str">
        <f t="shared" si="9"/>
        <v>DOCUMENTED</v>
      </c>
    </row>
    <row r="127" spans="1:21">
      <c r="A127" t="s">
        <v>139</v>
      </c>
      <c r="B127" t="s">
        <v>4402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 t="str">
        <f>IF((Sheet1[[#This Row],[Quantity]]*Sheet1[[#This Row],[UnitPrice]])=(Sheet1[[#This Row],[TotalPrice]]), "True", "False")</f>
        <v>True</v>
      </c>
      <c r="P127" t="str">
        <f>IF((Sheet1[[#This Row],[ItemsInCart]]&gt;=Sheet1[[#This Row],[Quantity]]), "Good", "Bad")</f>
        <v>Good</v>
      </c>
      <c r="Q127" t="str">
        <f t="shared" si="5"/>
        <v>OK</v>
      </c>
      <c r="R127" t="str">
        <f t="shared" si="6"/>
        <v>GOOD</v>
      </c>
      <c r="S127">
        <f t="shared" si="7"/>
        <v>0</v>
      </c>
      <c r="T127">
        <f t="shared" si="8"/>
        <v>0</v>
      </c>
      <c r="U127" t="str">
        <f t="shared" si="9"/>
        <v>OK</v>
      </c>
    </row>
    <row r="128" spans="1:21">
      <c r="A128" t="s">
        <v>140</v>
      </c>
      <c r="B128" t="s">
        <v>4403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 t="str">
        <f>IF((Sheet1[[#This Row],[Quantity]]*Sheet1[[#This Row],[UnitPrice]])=(Sheet1[[#This Row],[TotalPrice]]), "True", "False")</f>
        <v>True</v>
      </c>
      <c r="P128" t="str">
        <f>IF((Sheet1[[#This Row],[ItemsInCart]]&gt;=Sheet1[[#This Row],[Quantity]]), "Good", "Bad")</f>
        <v>Good</v>
      </c>
      <c r="Q128" t="str">
        <f t="shared" si="5"/>
        <v>OK</v>
      </c>
      <c r="R128" t="str">
        <f t="shared" si="6"/>
        <v>GOOD</v>
      </c>
      <c r="S128">
        <f t="shared" si="7"/>
        <v>0</v>
      </c>
      <c r="T128">
        <f t="shared" si="8"/>
        <v>0</v>
      </c>
      <c r="U128" t="str">
        <f t="shared" si="9"/>
        <v>OK</v>
      </c>
    </row>
    <row r="129" spans="1:21">
      <c r="A129" t="s">
        <v>141</v>
      </c>
      <c r="B129" t="s">
        <v>4404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4961</v>
      </c>
      <c r="M129" t="s">
        <v>4282</v>
      </c>
      <c r="N129">
        <v>1407.96</v>
      </c>
      <c r="O129" t="str">
        <f>IF((Sheet1[[#This Row],[Quantity]]*Sheet1[[#This Row],[UnitPrice]])=(Sheet1[[#This Row],[TotalPrice]]), "True", "False")</f>
        <v>True</v>
      </c>
      <c r="P129" t="str">
        <f>IF((Sheet1[[#This Row],[ItemsInCart]]&gt;=Sheet1[[#This Row],[Quantity]]), "Good", "Bad")</f>
        <v>Good</v>
      </c>
      <c r="Q129" t="str">
        <f t="shared" si="5"/>
        <v>OK</v>
      </c>
      <c r="R129" t="str">
        <f t="shared" si="6"/>
        <v>GOOD</v>
      </c>
      <c r="S129">
        <f t="shared" si="7"/>
        <v>0</v>
      </c>
      <c r="T129">
        <f t="shared" si="8"/>
        <v>0</v>
      </c>
      <c r="U129" t="str">
        <f t="shared" si="9"/>
        <v>OK</v>
      </c>
    </row>
    <row r="130" spans="1:21">
      <c r="A130" t="s">
        <v>142</v>
      </c>
      <c r="B130" t="s">
        <v>4379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 t="str">
        <f>IF((Sheet1[[#This Row],[Quantity]]*Sheet1[[#This Row],[UnitPrice]])=(Sheet1[[#This Row],[TotalPrice]]), "True", "False")</f>
        <v>True</v>
      </c>
      <c r="P130" t="str">
        <f>IF((Sheet1[[#This Row],[ItemsInCart]]&gt;=Sheet1[[#This Row],[Quantity]]), "Good", "Bad")</f>
        <v>Good</v>
      </c>
      <c r="Q130" t="str">
        <f t="shared" ref="Q130:Q193" si="10">IF(AND(E130&gt;0, F130&gt;0,N130&gt;0),"OK","INVALID")</f>
        <v>OK</v>
      </c>
      <c r="R130" t="str">
        <f t="shared" ref="R130:R193" si="11">IF(OR(AND(OR(I130="Shipped",I130="Delivered",I130="Returned"),J130=""),AND(OR(I130="Processing",I130="Pending",I130="Cancelled"),J130&lt;&gt;"")),"BAD","GOOD")</f>
        <v>GOOD</v>
      </c>
      <c r="S130">
        <f t="shared" ref="S130:S193" si="12">IF(AND(OR(I130="Shipped",I130="Delivered",I130="Returned"),J130=""),1,0)</f>
        <v>0</v>
      </c>
      <c r="T130">
        <f t="shared" ref="T130:T193" si="13">IF(AND(OR(I130="Processing",I130="Pending",I130="Cancelled"),J130&lt;&gt;""),1,0)</f>
        <v>0</v>
      </c>
      <c r="U130" t="str">
        <f t="shared" ref="U130:U193" si="14">IF(AND(OR(I130="Shipped",I130="Delivered"),J130=""),"MISSING_TRACKING", IF(AND(OR(I130="Processing",I130="Pending"),J130&lt;&gt;""),"DOCUMENTED", IF(AND(I130="Cancelled",J130&lt;&gt;""), "REVIEW_RETURN", "OK")))</f>
        <v>OK</v>
      </c>
    </row>
    <row r="131" spans="1:21">
      <c r="A131" t="s">
        <v>143</v>
      </c>
      <c r="B131" t="s">
        <v>4405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 t="str">
        <f>IF((Sheet1[[#This Row],[Quantity]]*Sheet1[[#This Row],[UnitPrice]])=(Sheet1[[#This Row],[TotalPrice]]), "True", "False")</f>
        <v>True</v>
      </c>
      <c r="P131" t="str">
        <f>IF((Sheet1[[#This Row],[ItemsInCart]]&gt;=Sheet1[[#This Row],[Quantity]]), "Good", "Bad")</f>
        <v>Good</v>
      </c>
      <c r="Q131" t="str">
        <f t="shared" si="10"/>
        <v>OK</v>
      </c>
      <c r="R131" t="str">
        <f t="shared" si="11"/>
        <v>GOOD</v>
      </c>
      <c r="S131">
        <f t="shared" si="12"/>
        <v>0</v>
      </c>
      <c r="T131">
        <f t="shared" si="13"/>
        <v>0</v>
      </c>
      <c r="U131" t="str">
        <f t="shared" si="14"/>
        <v>OK</v>
      </c>
    </row>
    <row r="132" spans="1:21">
      <c r="A132" t="s">
        <v>144</v>
      </c>
      <c r="B132" t="s">
        <v>4406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 t="str">
        <f>IF((Sheet1[[#This Row],[Quantity]]*Sheet1[[#This Row],[UnitPrice]])=(Sheet1[[#This Row],[TotalPrice]]), "True", "False")</f>
        <v>True</v>
      </c>
      <c r="P132" t="str">
        <f>IF((Sheet1[[#This Row],[ItemsInCart]]&gt;=Sheet1[[#This Row],[Quantity]]), "Good", "Bad")</f>
        <v>Good</v>
      </c>
      <c r="Q132" t="str">
        <f t="shared" si="10"/>
        <v>OK</v>
      </c>
      <c r="R132" t="str">
        <f t="shared" si="11"/>
        <v>BAD</v>
      </c>
      <c r="S132">
        <f t="shared" si="12"/>
        <v>0</v>
      </c>
      <c r="T132">
        <f t="shared" si="13"/>
        <v>1</v>
      </c>
      <c r="U132" t="str">
        <f t="shared" si="14"/>
        <v>REVIEW_RETURN</v>
      </c>
    </row>
    <row r="133" spans="1:21">
      <c r="A133" t="s">
        <v>145</v>
      </c>
      <c r="B133" t="s">
        <v>4407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4961</v>
      </c>
      <c r="M133" t="s">
        <v>4278</v>
      </c>
      <c r="N133">
        <v>84.8</v>
      </c>
      <c r="O133" t="str">
        <f>IF((Sheet1[[#This Row],[Quantity]]*Sheet1[[#This Row],[UnitPrice]])=(Sheet1[[#This Row],[TotalPrice]]), "True", "False")</f>
        <v>True</v>
      </c>
      <c r="P133" t="str">
        <f>IF((Sheet1[[#This Row],[ItemsInCart]]&gt;=Sheet1[[#This Row],[Quantity]]), "Good", "Bad")</f>
        <v>Good</v>
      </c>
      <c r="Q133" t="str">
        <f t="shared" si="10"/>
        <v>OK</v>
      </c>
      <c r="R133" t="str">
        <f t="shared" si="11"/>
        <v>BAD</v>
      </c>
      <c r="S133">
        <f t="shared" si="12"/>
        <v>0</v>
      </c>
      <c r="T133">
        <f t="shared" si="13"/>
        <v>1</v>
      </c>
      <c r="U133" t="str">
        <f t="shared" si="14"/>
        <v>DOCUMENTED</v>
      </c>
    </row>
    <row r="134" spans="1:21">
      <c r="A134" t="s">
        <v>146</v>
      </c>
      <c r="B134" t="s">
        <v>4408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 t="str">
        <f>IF((Sheet1[[#This Row],[Quantity]]*Sheet1[[#This Row],[UnitPrice]])=(Sheet1[[#This Row],[TotalPrice]]), "True", "False")</f>
        <v>True</v>
      </c>
      <c r="P134" t="str">
        <f>IF((Sheet1[[#This Row],[ItemsInCart]]&gt;=Sheet1[[#This Row],[Quantity]]), "Good", "Bad")</f>
        <v>Good</v>
      </c>
      <c r="Q134" t="str">
        <f t="shared" si="10"/>
        <v>OK</v>
      </c>
      <c r="R134" t="str">
        <f t="shared" si="11"/>
        <v>GOOD</v>
      </c>
      <c r="S134">
        <f t="shared" si="12"/>
        <v>0</v>
      </c>
      <c r="T134">
        <f t="shared" si="13"/>
        <v>0</v>
      </c>
      <c r="U134" t="str">
        <f t="shared" si="14"/>
        <v>OK</v>
      </c>
    </row>
    <row r="135" spans="1:21">
      <c r="A135" t="s">
        <v>147</v>
      </c>
      <c r="B135" t="s">
        <v>4409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 t="str">
        <f>IF((Sheet1[[#This Row],[Quantity]]*Sheet1[[#This Row],[UnitPrice]])=(Sheet1[[#This Row],[TotalPrice]]), "True", "False")</f>
        <v>True</v>
      </c>
      <c r="P135" t="str">
        <f>IF((Sheet1[[#This Row],[ItemsInCart]]&gt;=Sheet1[[#This Row],[Quantity]]), "Good", "Bad")</f>
        <v>Good</v>
      </c>
      <c r="Q135" t="str">
        <f t="shared" si="10"/>
        <v>OK</v>
      </c>
      <c r="R135" t="str">
        <f t="shared" si="11"/>
        <v>BAD</v>
      </c>
      <c r="S135">
        <f t="shared" si="12"/>
        <v>0</v>
      </c>
      <c r="T135">
        <f t="shared" si="13"/>
        <v>1</v>
      </c>
      <c r="U135" t="str">
        <f t="shared" si="14"/>
        <v>REVIEW_RETURN</v>
      </c>
    </row>
    <row r="136" spans="1:21">
      <c r="A136" t="s">
        <v>148</v>
      </c>
      <c r="B136" t="s">
        <v>4410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4961</v>
      </c>
      <c r="M136" t="s">
        <v>4280</v>
      </c>
      <c r="N136">
        <v>399.4</v>
      </c>
      <c r="O136" t="str">
        <f>IF((Sheet1[[#This Row],[Quantity]]*Sheet1[[#This Row],[UnitPrice]])=(Sheet1[[#This Row],[TotalPrice]]), "True", "False")</f>
        <v>True</v>
      </c>
      <c r="P136" t="str">
        <f>IF((Sheet1[[#This Row],[ItemsInCart]]&gt;=Sheet1[[#This Row],[Quantity]]), "Good", "Bad")</f>
        <v>Good</v>
      </c>
      <c r="Q136" t="str">
        <f t="shared" si="10"/>
        <v>OK</v>
      </c>
      <c r="R136" t="str">
        <f t="shared" si="11"/>
        <v>BAD</v>
      </c>
      <c r="S136">
        <f t="shared" si="12"/>
        <v>0</v>
      </c>
      <c r="T136">
        <f t="shared" si="13"/>
        <v>1</v>
      </c>
      <c r="U136" t="str">
        <f t="shared" si="14"/>
        <v>DOCUMENTED</v>
      </c>
    </row>
    <row r="137" spans="1:21">
      <c r="A137" t="s">
        <v>149</v>
      </c>
      <c r="B137" t="s">
        <v>4411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 t="str">
        <f>IF((Sheet1[[#This Row],[Quantity]]*Sheet1[[#This Row],[UnitPrice]])=(Sheet1[[#This Row],[TotalPrice]]), "True", "False")</f>
        <v>True</v>
      </c>
      <c r="P137" t="str">
        <f>IF((Sheet1[[#This Row],[ItemsInCart]]&gt;=Sheet1[[#This Row],[Quantity]]), "Good", "Bad")</f>
        <v>Good</v>
      </c>
      <c r="Q137" t="str">
        <f t="shared" si="10"/>
        <v>OK</v>
      </c>
      <c r="R137" t="str">
        <f t="shared" si="11"/>
        <v>GOOD</v>
      </c>
      <c r="S137">
        <f t="shared" si="12"/>
        <v>0</v>
      </c>
      <c r="T137">
        <f t="shared" si="13"/>
        <v>0</v>
      </c>
      <c r="U137" t="str">
        <f t="shared" si="14"/>
        <v>OK</v>
      </c>
    </row>
    <row r="138" spans="1:21">
      <c r="A138" t="s">
        <v>150</v>
      </c>
      <c r="B138" t="s">
        <v>4412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 t="str">
        <f>IF((Sheet1[[#This Row],[Quantity]]*Sheet1[[#This Row],[UnitPrice]])=(Sheet1[[#This Row],[TotalPrice]]), "True", "False")</f>
        <v>True</v>
      </c>
      <c r="P138" t="str">
        <f>IF((Sheet1[[#This Row],[ItemsInCart]]&gt;=Sheet1[[#This Row],[Quantity]]), "Good", "Bad")</f>
        <v>Good</v>
      </c>
      <c r="Q138" t="str">
        <f t="shared" si="10"/>
        <v>OK</v>
      </c>
      <c r="R138" t="str">
        <f t="shared" si="11"/>
        <v>BAD</v>
      </c>
      <c r="S138">
        <f t="shared" si="12"/>
        <v>0</v>
      </c>
      <c r="T138">
        <f t="shared" si="13"/>
        <v>1</v>
      </c>
      <c r="U138" t="str">
        <f t="shared" si="14"/>
        <v>REVIEW_RETURN</v>
      </c>
    </row>
    <row r="139" spans="1:21">
      <c r="A139" t="s">
        <v>151</v>
      </c>
      <c r="B139" t="s">
        <v>4413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4961</v>
      </c>
      <c r="M139" t="s">
        <v>4282</v>
      </c>
      <c r="N139">
        <v>501.96</v>
      </c>
      <c r="O139" t="str">
        <f>IF((Sheet1[[#This Row],[Quantity]]*Sheet1[[#This Row],[UnitPrice]])=(Sheet1[[#This Row],[TotalPrice]]), "True", "False")</f>
        <v>True</v>
      </c>
      <c r="P139" t="str">
        <f>IF((Sheet1[[#This Row],[ItemsInCart]]&gt;=Sheet1[[#This Row],[Quantity]]), "Good", "Bad")</f>
        <v>Good</v>
      </c>
      <c r="Q139" t="str">
        <f t="shared" si="10"/>
        <v>OK</v>
      </c>
      <c r="R139" t="str">
        <f t="shared" si="11"/>
        <v>GOOD</v>
      </c>
      <c r="S139">
        <f t="shared" si="12"/>
        <v>0</v>
      </c>
      <c r="T139">
        <f t="shared" si="13"/>
        <v>0</v>
      </c>
      <c r="U139" t="str">
        <f t="shared" si="14"/>
        <v>OK</v>
      </c>
    </row>
    <row r="140" spans="1:21">
      <c r="A140" t="s">
        <v>152</v>
      </c>
      <c r="B140" t="s">
        <v>4414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 t="str">
        <f>IF((Sheet1[[#This Row],[Quantity]]*Sheet1[[#This Row],[UnitPrice]])=(Sheet1[[#This Row],[TotalPrice]]), "True", "False")</f>
        <v>True</v>
      </c>
      <c r="P140" t="str">
        <f>IF((Sheet1[[#This Row],[ItemsInCart]]&gt;=Sheet1[[#This Row],[Quantity]]), "Good", "Bad")</f>
        <v>Good</v>
      </c>
      <c r="Q140" t="str">
        <f t="shared" si="10"/>
        <v>OK</v>
      </c>
      <c r="R140" t="str">
        <f t="shared" si="11"/>
        <v>BAD</v>
      </c>
      <c r="S140">
        <f t="shared" si="12"/>
        <v>0</v>
      </c>
      <c r="T140">
        <f t="shared" si="13"/>
        <v>1</v>
      </c>
      <c r="U140" t="str">
        <f t="shared" si="14"/>
        <v>DOCUMENTED</v>
      </c>
    </row>
    <row r="141" spans="1:21">
      <c r="A141" t="s">
        <v>153</v>
      </c>
      <c r="B141" t="s">
        <v>4415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4961</v>
      </c>
      <c r="M141" t="s">
        <v>4280</v>
      </c>
      <c r="N141">
        <v>583.9</v>
      </c>
      <c r="O141" t="str">
        <f>IF((Sheet1[[#This Row],[Quantity]]*Sheet1[[#This Row],[UnitPrice]])=(Sheet1[[#This Row],[TotalPrice]]), "True", "False")</f>
        <v>True</v>
      </c>
      <c r="P141" t="str">
        <f>IF((Sheet1[[#This Row],[ItemsInCart]]&gt;=Sheet1[[#This Row],[Quantity]]), "Good", "Bad")</f>
        <v>Good</v>
      </c>
      <c r="Q141" t="str">
        <f t="shared" si="10"/>
        <v>OK</v>
      </c>
      <c r="R141" t="str">
        <f t="shared" si="11"/>
        <v>GOOD</v>
      </c>
      <c r="S141">
        <f t="shared" si="12"/>
        <v>0</v>
      </c>
      <c r="T141">
        <f t="shared" si="13"/>
        <v>0</v>
      </c>
      <c r="U141" t="str">
        <f t="shared" si="14"/>
        <v>OK</v>
      </c>
    </row>
    <row r="142" spans="1:21">
      <c r="A142" t="s">
        <v>154</v>
      </c>
      <c r="B142" t="s">
        <v>4416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 t="str">
        <f>IF((Sheet1[[#This Row],[Quantity]]*Sheet1[[#This Row],[UnitPrice]])=(Sheet1[[#This Row],[TotalPrice]]), "True", "False")</f>
        <v>True</v>
      </c>
      <c r="P142" t="str">
        <f>IF((Sheet1[[#This Row],[ItemsInCart]]&gt;=Sheet1[[#This Row],[Quantity]]), "Good", "Bad")</f>
        <v>Good</v>
      </c>
      <c r="Q142" t="str">
        <f t="shared" si="10"/>
        <v>OK</v>
      </c>
      <c r="R142" t="str">
        <f t="shared" si="11"/>
        <v>GOOD</v>
      </c>
      <c r="S142">
        <f t="shared" si="12"/>
        <v>0</v>
      </c>
      <c r="T142">
        <f t="shared" si="13"/>
        <v>0</v>
      </c>
      <c r="U142" t="str">
        <f t="shared" si="14"/>
        <v>OK</v>
      </c>
    </row>
    <row r="143" spans="1:21">
      <c r="A143" t="s">
        <v>155</v>
      </c>
      <c r="B143" t="s">
        <v>4417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 t="str">
        <f>IF((Sheet1[[#This Row],[Quantity]]*Sheet1[[#This Row],[UnitPrice]])=(Sheet1[[#This Row],[TotalPrice]]), "True", "False")</f>
        <v>True</v>
      </c>
      <c r="P143" t="str">
        <f>IF((Sheet1[[#This Row],[ItemsInCart]]&gt;=Sheet1[[#This Row],[Quantity]]), "Good", "Bad")</f>
        <v>Good</v>
      </c>
      <c r="Q143" t="str">
        <f t="shared" si="10"/>
        <v>OK</v>
      </c>
      <c r="R143" t="str">
        <f t="shared" si="11"/>
        <v>BAD</v>
      </c>
      <c r="S143">
        <f t="shared" si="12"/>
        <v>0</v>
      </c>
      <c r="T143">
        <f t="shared" si="13"/>
        <v>1</v>
      </c>
      <c r="U143" t="str">
        <f t="shared" si="14"/>
        <v>REVIEW_RETURN</v>
      </c>
    </row>
    <row r="144" spans="1:21">
      <c r="A144" t="s">
        <v>156</v>
      </c>
      <c r="B144" t="s">
        <v>4418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 t="str">
        <f>IF((Sheet1[[#This Row],[Quantity]]*Sheet1[[#This Row],[UnitPrice]])=(Sheet1[[#This Row],[TotalPrice]]), "True", "False")</f>
        <v>True</v>
      </c>
      <c r="P144" t="str">
        <f>IF((Sheet1[[#This Row],[ItemsInCart]]&gt;=Sheet1[[#This Row],[Quantity]]), "Good", "Bad")</f>
        <v>Good</v>
      </c>
      <c r="Q144" t="str">
        <f t="shared" si="10"/>
        <v>OK</v>
      </c>
      <c r="R144" t="str">
        <f t="shared" si="11"/>
        <v>BAD</v>
      </c>
      <c r="S144">
        <f t="shared" si="12"/>
        <v>0</v>
      </c>
      <c r="T144">
        <f t="shared" si="13"/>
        <v>1</v>
      </c>
      <c r="U144" t="str">
        <f t="shared" si="14"/>
        <v>DOCUMENTED</v>
      </c>
    </row>
    <row r="145" spans="1:21">
      <c r="A145" t="s">
        <v>157</v>
      </c>
      <c r="B145" t="s">
        <v>4419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4961</v>
      </c>
      <c r="M145" t="s">
        <v>4279</v>
      </c>
      <c r="N145">
        <v>1600.28</v>
      </c>
      <c r="O145" t="str">
        <f>IF((Sheet1[[#This Row],[Quantity]]*Sheet1[[#This Row],[UnitPrice]])=(Sheet1[[#This Row],[TotalPrice]]), "True", "False")</f>
        <v>True</v>
      </c>
      <c r="P145" t="str">
        <f>IF((Sheet1[[#This Row],[ItemsInCart]]&gt;=Sheet1[[#This Row],[Quantity]]), "Good", "Bad")</f>
        <v>Good</v>
      </c>
      <c r="Q145" t="str">
        <f t="shared" si="10"/>
        <v>OK</v>
      </c>
      <c r="R145" t="str">
        <f t="shared" si="11"/>
        <v>GOOD</v>
      </c>
      <c r="S145">
        <f t="shared" si="12"/>
        <v>0</v>
      </c>
      <c r="T145">
        <f t="shared" si="13"/>
        <v>0</v>
      </c>
      <c r="U145" t="str">
        <f t="shared" si="14"/>
        <v>OK</v>
      </c>
    </row>
    <row r="146" spans="1:21">
      <c r="A146" t="s">
        <v>158</v>
      </c>
      <c r="B146" t="s">
        <v>4411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4961</v>
      </c>
      <c r="M146" t="s">
        <v>4281</v>
      </c>
      <c r="N146">
        <v>1098.9000000000001</v>
      </c>
      <c r="O146" t="str">
        <f>IF((Sheet1[[#This Row],[Quantity]]*Sheet1[[#This Row],[UnitPrice]])=(Sheet1[[#This Row],[TotalPrice]]), "True", "False")</f>
        <v>True</v>
      </c>
      <c r="P146" t="str">
        <f>IF((Sheet1[[#This Row],[ItemsInCart]]&gt;=Sheet1[[#This Row],[Quantity]]), "Good", "Bad")</f>
        <v>Good</v>
      </c>
      <c r="Q146" t="str">
        <f t="shared" si="10"/>
        <v>OK</v>
      </c>
      <c r="R146" t="str">
        <f t="shared" si="11"/>
        <v>BAD</v>
      </c>
      <c r="S146">
        <f t="shared" si="12"/>
        <v>0</v>
      </c>
      <c r="T146">
        <f t="shared" si="13"/>
        <v>1</v>
      </c>
      <c r="U146" t="str">
        <f t="shared" si="14"/>
        <v>DOCUMENTED</v>
      </c>
    </row>
    <row r="147" spans="1:21">
      <c r="A147" t="s">
        <v>159</v>
      </c>
      <c r="B147" t="s">
        <v>4300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 t="str">
        <f>IF((Sheet1[[#This Row],[Quantity]]*Sheet1[[#This Row],[UnitPrice]])=(Sheet1[[#This Row],[TotalPrice]]), "True", "False")</f>
        <v>True</v>
      </c>
      <c r="P147" t="str">
        <f>IF((Sheet1[[#This Row],[ItemsInCart]]&gt;=Sheet1[[#This Row],[Quantity]]), "Good", "Bad")</f>
        <v>Good</v>
      </c>
      <c r="Q147" t="str">
        <f t="shared" si="10"/>
        <v>OK</v>
      </c>
      <c r="R147" t="str">
        <f t="shared" si="11"/>
        <v>GOOD</v>
      </c>
      <c r="S147">
        <f t="shared" si="12"/>
        <v>0</v>
      </c>
      <c r="T147">
        <f t="shared" si="13"/>
        <v>0</v>
      </c>
      <c r="U147" t="str">
        <f t="shared" si="14"/>
        <v>OK</v>
      </c>
    </row>
    <row r="148" spans="1:21">
      <c r="A148" t="s">
        <v>160</v>
      </c>
      <c r="B148" t="s">
        <v>4420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4961</v>
      </c>
      <c r="M148" t="s">
        <v>4278</v>
      </c>
      <c r="N148">
        <v>822.98</v>
      </c>
      <c r="O148" t="str">
        <f>IF((Sheet1[[#This Row],[Quantity]]*Sheet1[[#This Row],[UnitPrice]])=(Sheet1[[#This Row],[TotalPrice]]), "True", "False")</f>
        <v>True</v>
      </c>
      <c r="P148" t="str">
        <f>IF((Sheet1[[#This Row],[ItemsInCart]]&gt;=Sheet1[[#This Row],[Quantity]]), "Good", "Bad")</f>
        <v>Good</v>
      </c>
      <c r="Q148" t="str">
        <f t="shared" si="10"/>
        <v>OK</v>
      </c>
      <c r="R148" t="str">
        <f t="shared" si="11"/>
        <v>GOOD</v>
      </c>
      <c r="S148">
        <f t="shared" si="12"/>
        <v>0</v>
      </c>
      <c r="T148">
        <f t="shared" si="13"/>
        <v>0</v>
      </c>
      <c r="U148" t="str">
        <f t="shared" si="14"/>
        <v>OK</v>
      </c>
    </row>
    <row r="149" spans="1:21">
      <c r="A149" t="s">
        <v>161</v>
      </c>
      <c r="B149" t="s">
        <v>4421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 t="str">
        <f>IF((Sheet1[[#This Row],[Quantity]]*Sheet1[[#This Row],[UnitPrice]])=(Sheet1[[#This Row],[TotalPrice]]), "True", "False")</f>
        <v>True</v>
      </c>
      <c r="P149" t="str">
        <f>IF((Sheet1[[#This Row],[ItemsInCart]]&gt;=Sheet1[[#This Row],[Quantity]]), "Good", "Bad")</f>
        <v>Good</v>
      </c>
      <c r="Q149" t="str">
        <f t="shared" si="10"/>
        <v>OK</v>
      </c>
      <c r="R149" t="str">
        <f t="shared" si="11"/>
        <v>BAD</v>
      </c>
      <c r="S149">
        <f t="shared" si="12"/>
        <v>0</v>
      </c>
      <c r="T149">
        <f t="shared" si="13"/>
        <v>1</v>
      </c>
      <c r="U149" t="str">
        <f t="shared" si="14"/>
        <v>REVIEW_RETURN</v>
      </c>
    </row>
    <row r="150" spans="1:21">
      <c r="A150" t="s">
        <v>162</v>
      </c>
      <c r="B150" t="s">
        <v>4422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 t="str">
        <f>IF((Sheet1[[#This Row],[Quantity]]*Sheet1[[#This Row],[UnitPrice]])=(Sheet1[[#This Row],[TotalPrice]]), "True", "False")</f>
        <v>True</v>
      </c>
      <c r="P150" t="str">
        <f>IF((Sheet1[[#This Row],[ItemsInCart]]&gt;=Sheet1[[#This Row],[Quantity]]), "Good", "Bad")</f>
        <v>Good</v>
      </c>
      <c r="Q150" t="str">
        <f t="shared" si="10"/>
        <v>OK</v>
      </c>
      <c r="R150" t="str">
        <f t="shared" si="11"/>
        <v>BAD</v>
      </c>
      <c r="S150">
        <f t="shared" si="12"/>
        <v>0</v>
      </c>
      <c r="T150">
        <f t="shared" si="13"/>
        <v>1</v>
      </c>
      <c r="U150" t="str">
        <f t="shared" si="14"/>
        <v>REVIEW_RETURN</v>
      </c>
    </row>
    <row r="151" spans="1:21">
      <c r="A151" t="s">
        <v>163</v>
      </c>
      <c r="B151" t="s">
        <v>4423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4961</v>
      </c>
      <c r="M151" t="s">
        <v>4281</v>
      </c>
      <c r="N151">
        <v>217.56</v>
      </c>
      <c r="O151" t="str">
        <f>IF((Sheet1[[#This Row],[Quantity]]*Sheet1[[#This Row],[UnitPrice]])=(Sheet1[[#This Row],[TotalPrice]]), "True", "False")</f>
        <v>True</v>
      </c>
      <c r="P151" t="str">
        <f>IF((Sheet1[[#This Row],[ItemsInCart]]&gt;=Sheet1[[#This Row],[Quantity]]), "Good", "Bad")</f>
        <v>Good</v>
      </c>
      <c r="Q151" t="str">
        <f t="shared" si="10"/>
        <v>OK</v>
      </c>
      <c r="R151" t="str">
        <f t="shared" si="11"/>
        <v>GOOD</v>
      </c>
      <c r="S151">
        <f t="shared" si="12"/>
        <v>0</v>
      </c>
      <c r="T151">
        <f t="shared" si="13"/>
        <v>0</v>
      </c>
      <c r="U151" t="str">
        <f t="shared" si="14"/>
        <v>OK</v>
      </c>
    </row>
    <row r="152" spans="1:21">
      <c r="A152" t="s">
        <v>164</v>
      </c>
      <c r="B152" t="s">
        <v>4424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 t="str">
        <f>IF((Sheet1[[#This Row],[Quantity]]*Sheet1[[#This Row],[UnitPrice]])=(Sheet1[[#This Row],[TotalPrice]]), "True", "False")</f>
        <v>True</v>
      </c>
      <c r="P152" t="str">
        <f>IF((Sheet1[[#This Row],[ItemsInCart]]&gt;=Sheet1[[#This Row],[Quantity]]), "Good", "Bad")</f>
        <v>Good</v>
      </c>
      <c r="Q152" t="str">
        <f t="shared" si="10"/>
        <v>OK</v>
      </c>
      <c r="R152" t="str">
        <f t="shared" si="11"/>
        <v>GOOD</v>
      </c>
      <c r="S152">
        <f t="shared" si="12"/>
        <v>0</v>
      </c>
      <c r="T152">
        <f t="shared" si="13"/>
        <v>0</v>
      </c>
      <c r="U152" t="str">
        <f t="shared" si="14"/>
        <v>OK</v>
      </c>
    </row>
    <row r="153" spans="1:21">
      <c r="A153" t="s">
        <v>165</v>
      </c>
      <c r="B153" t="s">
        <v>4425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4961</v>
      </c>
      <c r="M153" t="s">
        <v>4280</v>
      </c>
      <c r="N153">
        <v>2223.8000000000002</v>
      </c>
      <c r="O153" t="str">
        <f>IF((Sheet1[[#This Row],[Quantity]]*Sheet1[[#This Row],[UnitPrice]])=(Sheet1[[#This Row],[TotalPrice]]), "True", "False")</f>
        <v>True</v>
      </c>
      <c r="P153" t="str">
        <f>IF((Sheet1[[#This Row],[ItemsInCart]]&gt;=Sheet1[[#This Row],[Quantity]]), "Good", "Bad")</f>
        <v>Good</v>
      </c>
      <c r="Q153" t="str">
        <f t="shared" si="10"/>
        <v>OK</v>
      </c>
      <c r="R153" t="str">
        <f t="shared" si="11"/>
        <v>GOOD</v>
      </c>
      <c r="S153">
        <f t="shared" si="12"/>
        <v>0</v>
      </c>
      <c r="T153">
        <f t="shared" si="13"/>
        <v>0</v>
      </c>
      <c r="U153" t="str">
        <f t="shared" si="14"/>
        <v>OK</v>
      </c>
    </row>
    <row r="154" spans="1:21">
      <c r="A154" t="s">
        <v>166</v>
      </c>
      <c r="B154" t="s">
        <v>4426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 t="str">
        <f>IF((Sheet1[[#This Row],[Quantity]]*Sheet1[[#This Row],[UnitPrice]])=(Sheet1[[#This Row],[TotalPrice]]), "True", "False")</f>
        <v>True</v>
      </c>
      <c r="P154" t="str">
        <f>IF((Sheet1[[#This Row],[ItemsInCart]]&gt;=Sheet1[[#This Row],[Quantity]]), "Good", "Bad")</f>
        <v>Good</v>
      </c>
      <c r="Q154" t="str">
        <f t="shared" si="10"/>
        <v>OK</v>
      </c>
      <c r="R154" t="str">
        <f t="shared" si="11"/>
        <v>BAD</v>
      </c>
      <c r="S154">
        <f t="shared" si="12"/>
        <v>0</v>
      </c>
      <c r="T154">
        <f t="shared" si="13"/>
        <v>1</v>
      </c>
      <c r="U154" t="str">
        <f t="shared" si="14"/>
        <v>REVIEW_RETURN</v>
      </c>
    </row>
    <row r="155" spans="1:21">
      <c r="A155" t="s">
        <v>167</v>
      </c>
      <c r="B155" t="s">
        <v>4427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 t="str">
        <f>IF((Sheet1[[#This Row],[Quantity]]*Sheet1[[#This Row],[UnitPrice]])=(Sheet1[[#This Row],[TotalPrice]]), "True", "False")</f>
        <v>True</v>
      </c>
      <c r="P155" t="str">
        <f>IF((Sheet1[[#This Row],[ItemsInCart]]&gt;=Sheet1[[#This Row],[Quantity]]), "Good", "Bad")</f>
        <v>Good</v>
      </c>
      <c r="Q155" t="str">
        <f t="shared" si="10"/>
        <v>OK</v>
      </c>
      <c r="R155" t="str">
        <f t="shared" si="11"/>
        <v>GOOD</v>
      </c>
      <c r="S155">
        <f t="shared" si="12"/>
        <v>0</v>
      </c>
      <c r="T155">
        <f t="shared" si="13"/>
        <v>0</v>
      </c>
      <c r="U155" t="str">
        <f t="shared" si="14"/>
        <v>OK</v>
      </c>
    </row>
    <row r="156" spans="1:21">
      <c r="A156" t="s">
        <v>168</v>
      </c>
      <c r="B156" t="s">
        <v>4428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4961</v>
      </c>
      <c r="M156" t="s">
        <v>4278</v>
      </c>
      <c r="N156">
        <v>1632.84</v>
      </c>
      <c r="O156" t="str">
        <f>IF((Sheet1[[#This Row],[Quantity]]*Sheet1[[#This Row],[UnitPrice]])=(Sheet1[[#This Row],[TotalPrice]]), "True", "False")</f>
        <v>True</v>
      </c>
      <c r="P156" t="str">
        <f>IF((Sheet1[[#This Row],[ItemsInCart]]&gt;=Sheet1[[#This Row],[Quantity]]), "Good", "Bad")</f>
        <v>Good</v>
      </c>
      <c r="Q156" t="str">
        <f t="shared" si="10"/>
        <v>OK</v>
      </c>
      <c r="R156" t="str">
        <f t="shared" si="11"/>
        <v>BAD</v>
      </c>
      <c r="S156">
        <f t="shared" si="12"/>
        <v>0</v>
      </c>
      <c r="T156">
        <f t="shared" si="13"/>
        <v>1</v>
      </c>
      <c r="U156" t="str">
        <f t="shared" si="14"/>
        <v>DOCUMENTED</v>
      </c>
    </row>
    <row r="157" spans="1:21">
      <c r="A157" t="s">
        <v>169</v>
      </c>
      <c r="B157" t="s">
        <v>4429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 t="str">
        <f>IF((Sheet1[[#This Row],[Quantity]]*Sheet1[[#This Row],[UnitPrice]])=(Sheet1[[#This Row],[TotalPrice]]), "True", "False")</f>
        <v>True</v>
      </c>
      <c r="P157" t="str">
        <f>IF((Sheet1[[#This Row],[ItemsInCart]]&gt;=Sheet1[[#This Row],[Quantity]]), "Good", "Bad")</f>
        <v>Good</v>
      </c>
      <c r="Q157" t="str">
        <f t="shared" si="10"/>
        <v>OK</v>
      </c>
      <c r="R157" t="str">
        <f t="shared" si="11"/>
        <v>GOOD</v>
      </c>
      <c r="S157">
        <f t="shared" si="12"/>
        <v>0</v>
      </c>
      <c r="T157">
        <f t="shared" si="13"/>
        <v>0</v>
      </c>
      <c r="U157" t="str">
        <f t="shared" si="14"/>
        <v>OK</v>
      </c>
    </row>
    <row r="158" spans="1:21">
      <c r="A158" t="s">
        <v>170</v>
      </c>
      <c r="B158" t="s">
        <v>4430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 t="str">
        <f>IF((Sheet1[[#This Row],[Quantity]]*Sheet1[[#This Row],[UnitPrice]])=(Sheet1[[#This Row],[TotalPrice]]), "True", "False")</f>
        <v>True</v>
      </c>
      <c r="P158" t="str">
        <f>IF((Sheet1[[#This Row],[ItemsInCart]]&gt;=Sheet1[[#This Row],[Quantity]]), "Good", "Bad")</f>
        <v>Good</v>
      </c>
      <c r="Q158" t="str">
        <f t="shared" si="10"/>
        <v>OK</v>
      </c>
      <c r="R158" t="str">
        <f t="shared" si="11"/>
        <v>GOOD</v>
      </c>
      <c r="S158">
        <f t="shared" si="12"/>
        <v>0</v>
      </c>
      <c r="T158">
        <f t="shared" si="13"/>
        <v>0</v>
      </c>
      <c r="U158" t="str">
        <f t="shared" si="14"/>
        <v>OK</v>
      </c>
    </row>
    <row r="159" spans="1:21">
      <c r="A159" t="s">
        <v>171</v>
      </c>
      <c r="B159" t="s">
        <v>4431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 t="str">
        <f>IF((Sheet1[[#This Row],[Quantity]]*Sheet1[[#This Row],[UnitPrice]])=(Sheet1[[#This Row],[TotalPrice]]), "True", "False")</f>
        <v>True</v>
      </c>
      <c r="P159" t="str">
        <f>IF((Sheet1[[#This Row],[ItemsInCart]]&gt;=Sheet1[[#This Row],[Quantity]]), "Good", "Bad")</f>
        <v>Good</v>
      </c>
      <c r="Q159" t="str">
        <f t="shared" si="10"/>
        <v>OK</v>
      </c>
      <c r="R159" t="str">
        <f t="shared" si="11"/>
        <v>GOOD</v>
      </c>
      <c r="S159">
        <f t="shared" si="12"/>
        <v>0</v>
      </c>
      <c r="T159">
        <f t="shared" si="13"/>
        <v>0</v>
      </c>
      <c r="U159" t="str">
        <f t="shared" si="14"/>
        <v>OK</v>
      </c>
    </row>
    <row r="160" spans="1:21">
      <c r="A160" t="s">
        <v>172</v>
      </c>
      <c r="B160" t="s">
        <v>4432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 t="str">
        <f>IF((Sheet1[[#This Row],[Quantity]]*Sheet1[[#This Row],[UnitPrice]])=(Sheet1[[#This Row],[TotalPrice]]), "True", "False")</f>
        <v>True</v>
      </c>
      <c r="P160" t="str">
        <f>IF((Sheet1[[#This Row],[ItemsInCart]]&gt;=Sheet1[[#This Row],[Quantity]]), "Good", "Bad")</f>
        <v>Good</v>
      </c>
      <c r="Q160" t="str">
        <f t="shared" si="10"/>
        <v>OK</v>
      </c>
      <c r="R160" t="str">
        <f t="shared" si="11"/>
        <v>BAD</v>
      </c>
      <c r="S160">
        <f t="shared" si="12"/>
        <v>0</v>
      </c>
      <c r="T160">
        <f t="shared" si="13"/>
        <v>1</v>
      </c>
      <c r="U160" t="str">
        <f t="shared" si="14"/>
        <v>DOCUMENTED</v>
      </c>
    </row>
    <row r="161" spans="1:21">
      <c r="A161" t="s">
        <v>173</v>
      </c>
      <c r="B161" t="s">
        <v>4433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 t="str">
        <f>IF((Sheet1[[#This Row],[Quantity]]*Sheet1[[#This Row],[UnitPrice]])=(Sheet1[[#This Row],[TotalPrice]]), "True", "False")</f>
        <v>True</v>
      </c>
      <c r="P161" t="str">
        <f>IF((Sheet1[[#This Row],[ItemsInCart]]&gt;=Sheet1[[#This Row],[Quantity]]), "Good", "Bad")</f>
        <v>Good</v>
      </c>
      <c r="Q161" t="str">
        <f t="shared" si="10"/>
        <v>OK</v>
      </c>
      <c r="R161" t="str">
        <f t="shared" si="11"/>
        <v>BAD</v>
      </c>
      <c r="S161">
        <f t="shared" si="12"/>
        <v>0</v>
      </c>
      <c r="T161">
        <f t="shared" si="13"/>
        <v>1</v>
      </c>
      <c r="U161" t="str">
        <f t="shared" si="14"/>
        <v>REVIEW_RETURN</v>
      </c>
    </row>
    <row r="162" spans="1:21">
      <c r="A162" t="s">
        <v>174</v>
      </c>
      <c r="B162" t="s">
        <v>4379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4961</v>
      </c>
      <c r="M162" t="s">
        <v>4279</v>
      </c>
      <c r="N162">
        <v>405.28</v>
      </c>
      <c r="O162" t="str">
        <f>IF((Sheet1[[#This Row],[Quantity]]*Sheet1[[#This Row],[UnitPrice]])=(Sheet1[[#This Row],[TotalPrice]]), "True", "False")</f>
        <v>True</v>
      </c>
      <c r="P162" t="str">
        <f>IF((Sheet1[[#This Row],[ItemsInCart]]&gt;=Sheet1[[#This Row],[Quantity]]), "Good", "Bad")</f>
        <v>Good</v>
      </c>
      <c r="Q162" t="str">
        <f t="shared" si="10"/>
        <v>OK</v>
      </c>
      <c r="R162" t="str">
        <f t="shared" si="11"/>
        <v>BAD</v>
      </c>
      <c r="S162">
        <f t="shared" si="12"/>
        <v>0</v>
      </c>
      <c r="T162">
        <f t="shared" si="13"/>
        <v>1</v>
      </c>
      <c r="U162" t="str">
        <f t="shared" si="14"/>
        <v>DOCUMENTED</v>
      </c>
    </row>
    <row r="163" spans="1:21">
      <c r="A163" t="s">
        <v>175</v>
      </c>
      <c r="B163" t="s">
        <v>4434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 t="str">
        <f>IF((Sheet1[[#This Row],[Quantity]]*Sheet1[[#This Row],[UnitPrice]])=(Sheet1[[#This Row],[TotalPrice]]), "True", "False")</f>
        <v>True</v>
      </c>
      <c r="P163" t="str">
        <f>IF((Sheet1[[#This Row],[ItemsInCart]]&gt;=Sheet1[[#This Row],[Quantity]]), "Good", "Bad")</f>
        <v>Good</v>
      </c>
      <c r="Q163" t="str">
        <f t="shared" si="10"/>
        <v>OK</v>
      </c>
      <c r="R163" t="str">
        <f t="shared" si="11"/>
        <v>BAD</v>
      </c>
      <c r="S163">
        <f t="shared" si="12"/>
        <v>0</v>
      </c>
      <c r="T163">
        <f t="shared" si="13"/>
        <v>1</v>
      </c>
      <c r="U163" t="str">
        <f t="shared" si="14"/>
        <v>REVIEW_RETURN</v>
      </c>
    </row>
    <row r="164" spans="1:21">
      <c r="A164" t="s">
        <v>176</v>
      </c>
      <c r="B164" t="s">
        <v>4435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 t="str">
        <f>IF((Sheet1[[#This Row],[Quantity]]*Sheet1[[#This Row],[UnitPrice]])=(Sheet1[[#This Row],[TotalPrice]]), "True", "False")</f>
        <v>True</v>
      </c>
      <c r="P164" t="str">
        <f>IF((Sheet1[[#This Row],[ItemsInCart]]&gt;=Sheet1[[#This Row],[Quantity]]), "Good", "Bad")</f>
        <v>Good</v>
      </c>
      <c r="Q164" t="str">
        <f t="shared" si="10"/>
        <v>OK</v>
      </c>
      <c r="R164" t="str">
        <f t="shared" si="11"/>
        <v>BAD</v>
      </c>
      <c r="S164">
        <f t="shared" si="12"/>
        <v>0</v>
      </c>
      <c r="T164">
        <f t="shared" si="13"/>
        <v>1</v>
      </c>
      <c r="U164" t="str">
        <f t="shared" si="14"/>
        <v>DOCUMENTED</v>
      </c>
    </row>
    <row r="165" spans="1:21">
      <c r="A165" t="s">
        <v>177</v>
      </c>
      <c r="B165" t="s">
        <v>4336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4961</v>
      </c>
      <c r="M165" t="s">
        <v>4279</v>
      </c>
      <c r="N165">
        <v>641.39</v>
      </c>
      <c r="O165" t="str">
        <f>IF((Sheet1[[#This Row],[Quantity]]*Sheet1[[#This Row],[UnitPrice]])=(Sheet1[[#This Row],[TotalPrice]]), "True", "False")</f>
        <v>True</v>
      </c>
      <c r="P165" t="str">
        <f>IF((Sheet1[[#This Row],[ItemsInCart]]&gt;=Sheet1[[#This Row],[Quantity]]), "Good", "Bad")</f>
        <v>Good</v>
      </c>
      <c r="Q165" t="str">
        <f t="shared" si="10"/>
        <v>OK</v>
      </c>
      <c r="R165" t="str">
        <f t="shared" si="11"/>
        <v>BAD</v>
      </c>
      <c r="S165">
        <f t="shared" si="12"/>
        <v>0</v>
      </c>
      <c r="T165">
        <f t="shared" si="13"/>
        <v>1</v>
      </c>
      <c r="U165" t="str">
        <f t="shared" si="14"/>
        <v>REVIEW_RETURN</v>
      </c>
    </row>
    <row r="166" spans="1:21">
      <c r="A166" t="s">
        <v>178</v>
      </c>
      <c r="B166" t="s">
        <v>4436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 t="str">
        <f>IF((Sheet1[[#This Row],[Quantity]]*Sheet1[[#This Row],[UnitPrice]])=(Sheet1[[#This Row],[TotalPrice]]), "True", "False")</f>
        <v>True</v>
      </c>
      <c r="P166" t="str">
        <f>IF((Sheet1[[#This Row],[ItemsInCart]]&gt;=Sheet1[[#This Row],[Quantity]]), "Good", "Bad")</f>
        <v>Good</v>
      </c>
      <c r="Q166" t="str">
        <f t="shared" si="10"/>
        <v>OK</v>
      </c>
      <c r="R166" t="str">
        <f t="shared" si="11"/>
        <v>BAD</v>
      </c>
      <c r="S166">
        <f t="shared" si="12"/>
        <v>0</v>
      </c>
      <c r="T166">
        <f t="shared" si="13"/>
        <v>1</v>
      </c>
      <c r="U166" t="str">
        <f t="shared" si="14"/>
        <v>DOCUMENTED</v>
      </c>
    </row>
    <row r="167" spans="1:21">
      <c r="A167" t="s">
        <v>179</v>
      </c>
      <c r="B167" t="s">
        <v>4437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 t="str">
        <f>IF((Sheet1[[#This Row],[Quantity]]*Sheet1[[#This Row],[UnitPrice]])=(Sheet1[[#This Row],[TotalPrice]]), "True", "False")</f>
        <v>True</v>
      </c>
      <c r="P167" t="str">
        <f>IF((Sheet1[[#This Row],[ItemsInCart]]&gt;=Sheet1[[#This Row],[Quantity]]), "Good", "Bad")</f>
        <v>Good</v>
      </c>
      <c r="Q167" t="str">
        <f t="shared" si="10"/>
        <v>OK</v>
      </c>
      <c r="R167" t="str">
        <f t="shared" si="11"/>
        <v>GOOD</v>
      </c>
      <c r="S167">
        <f t="shared" si="12"/>
        <v>0</v>
      </c>
      <c r="T167">
        <f t="shared" si="13"/>
        <v>0</v>
      </c>
      <c r="U167" t="str">
        <f t="shared" si="14"/>
        <v>OK</v>
      </c>
    </row>
    <row r="168" spans="1:21">
      <c r="A168" t="s">
        <v>180</v>
      </c>
      <c r="B168" t="s">
        <v>4438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 t="str">
        <f>IF((Sheet1[[#This Row],[Quantity]]*Sheet1[[#This Row],[UnitPrice]])=(Sheet1[[#This Row],[TotalPrice]]), "True", "False")</f>
        <v>True</v>
      </c>
      <c r="P168" t="str">
        <f>IF((Sheet1[[#This Row],[ItemsInCart]]&gt;=Sheet1[[#This Row],[Quantity]]), "Good", "Bad")</f>
        <v>Good</v>
      </c>
      <c r="Q168" t="str">
        <f t="shared" si="10"/>
        <v>OK</v>
      </c>
      <c r="R168" t="str">
        <f t="shared" si="11"/>
        <v>GOOD</v>
      </c>
      <c r="S168">
        <f t="shared" si="12"/>
        <v>0</v>
      </c>
      <c r="T168">
        <f t="shared" si="13"/>
        <v>0</v>
      </c>
      <c r="U168" t="str">
        <f t="shared" si="14"/>
        <v>OK</v>
      </c>
    </row>
    <row r="169" spans="1:21">
      <c r="A169" t="s">
        <v>181</v>
      </c>
      <c r="B169" t="s">
        <v>4439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 t="str">
        <f>IF((Sheet1[[#This Row],[Quantity]]*Sheet1[[#This Row],[UnitPrice]])=(Sheet1[[#This Row],[TotalPrice]]), "True", "False")</f>
        <v>True</v>
      </c>
      <c r="P169" t="str">
        <f>IF((Sheet1[[#This Row],[ItemsInCart]]&gt;=Sheet1[[#This Row],[Quantity]]), "Good", "Bad")</f>
        <v>Good</v>
      </c>
      <c r="Q169" t="str">
        <f t="shared" si="10"/>
        <v>OK</v>
      </c>
      <c r="R169" t="str">
        <f t="shared" si="11"/>
        <v>GOOD</v>
      </c>
      <c r="S169">
        <f t="shared" si="12"/>
        <v>0</v>
      </c>
      <c r="T169">
        <f t="shared" si="13"/>
        <v>0</v>
      </c>
      <c r="U169" t="str">
        <f t="shared" si="14"/>
        <v>OK</v>
      </c>
    </row>
    <row r="170" spans="1:21">
      <c r="A170" t="s">
        <v>182</v>
      </c>
      <c r="B170" t="s">
        <v>4440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4961</v>
      </c>
      <c r="M170" t="s">
        <v>4281</v>
      </c>
      <c r="N170">
        <v>594.96</v>
      </c>
      <c r="O170" t="str">
        <f>IF((Sheet1[[#This Row],[Quantity]]*Sheet1[[#This Row],[UnitPrice]])=(Sheet1[[#This Row],[TotalPrice]]), "True", "False")</f>
        <v>True</v>
      </c>
      <c r="P170" t="str">
        <f>IF((Sheet1[[#This Row],[ItemsInCart]]&gt;=Sheet1[[#This Row],[Quantity]]), "Good", "Bad")</f>
        <v>Good</v>
      </c>
      <c r="Q170" t="str">
        <f t="shared" si="10"/>
        <v>OK</v>
      </c>
      <c r="R170" t="str">
        <f t="shared" si="11"/>
        <v>GOOD</v>
      </c>
      <c r="S170">
        <f t="shared" si="12"/>
        <v>0</v>
      </c>
      <c r="T170">
        <f t="shared" si="13"/>
        <v>0</v>
      </c>
      <c r="U170" t="str">
        <f t="shared" si="14"/>
        <v>OK</v>
      </c>
    </row>
    <row r="171" spans="1:21">
      <c r="A171" t="s">
        <v>183</v>
      </c>
      <c r="B171" t="s">
        <v>4441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 t="str">
        <f>IF((Sheet1[[#This Row],[Quantity]]*Sheet1[[#This Row],[UnitPrice]])=(Sheet1[[#This Row],[TotalPrice]]), "True", "False")</f>
        <v>True</v>
      </c>
      <c r="P171" t="str">
        <f>IF((Sheet1[[#This Row],[ItemsInCart]]&gt;=Sheet1[[#This Row],[Quantity]]), "Good", "Bad")</f>
        <v>Good</v>
      </c>
      <c r="Q171" t="str">
        <f t="shared" si="10"/>
        <v>OK</v>
      </c>
      <c r="R171" t="str">
        <f t="shared" si="11"/>
        <v>GOOD</v>
      </c>
      <c r="S171">
        <f t="shared" si="12"/>
        <v>0</v>
      </c>
      <c r="T171">
        <f t="shared" si="13"/>
        <v>0</v>
      </c>
      <c r="U171" t="str">
        <f t="shared" si="14"/>
        <v>OK</v>
      </c>
    </row>
    <row r="172" spans="1:21">
      <c r="A172" t="s">
        <v>184</v>
      </c>
      <c r="B172" t="s">
        <v>4442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 t="str">
        <f>IF((Sheet1[[#This Row],[Quantity]]*Sheet1[[#This Row],[UnitPrice]])=(Sheet1[[#This Row],[TotalPrice]]), "True", "False")</f>
        <v>True</v>
      </c>
      <c r="P172" t="str">
        <f>IF((Sheet1[[#This Row],[ItemsInCart]]&gt;=Sheet1[[#This Row],[Quantity]]), "Good", "Bad")</f>
        <v>Good</v>
      </c>
      <c r="Q172" t="str">
        <f t="shared" si="10"/>
        <v>OK</v>
      </c>
      <c r="R172" t="str">
        <f t="shared" si="11"/>
        <v>BAD</v>
      </c>
      <c r="S172">
        <f t="shared" si="12"/>
        <v>0</v>
      </c>
      <c r="T172">
        <f t="shared" si="13"/>
        <v>1</v>
      </c>
      <c r="U172" t="str">
        <f t="shared" si="14"/>
        <v>REVIEW_RETURN</v>
      </c>
    </row>
    <row r="173" spans="1:21">
      <c r="A173" t="s">
        <v>185</v>
      </c>
      <c r="B173" t="s">
        <v>4443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 t="str">
        <f>IF((Sheet1[[#This Row],[Quantity]]*Sheet1[[#This Row],[UnitPrice]])=(Sheet1[[#This Row],[TotalPrice]]), "True", "False")</f>
        <v>True</v>
      </c>
      <c r="P173" t="str">
        <f>IF((Sheet1[[#This Row],[ItemsInCart]]&gt;=Sheet1[[#This Row],[Quantity]]), "Good", "Bad")</f>
        <v>Good</v>
      </c>
      <c r="Q173" t="str">
        <f t="shared" si="10"/>
        <v>OK</v>
      </c>
      <c r="R173" t="str">
        <f t="shared" si="11"/>
        <v>GOOD</v>
      </c>
      <c r="S173">
        <f t="shared" si="12"/>
        <v>0</v>
      </c>
      <c r="T173">
        <f t="shared" si="13"/>
        <v>0</v>
      </c>
      <c r="U173" t="str">
        <f t="shared" si="14"/>
        <v>OK</v>
      </c>
    </row>
    <row r="174" spans="1:21">
      <c r="A174" t="s">
        <v>186</v>
      </c>
      <c r="B174" t="s">
        <v>4444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 t="str">
        <f>IF((Sheet1[[#This Row],[Quantity]]*Sheet1[[#This Row],[UnitPrice]])=(Sheet1[[#This Row],[TotalPrice]]), "True", "False")</f>
        <v>True</v>
      </c>
      <c r="P174" t="str">
        <f>IF((Sheet1[[#This Row],[ItemsInCart]]&gt;=Sheet1[[#This Row],[Quantity]]), "Good", "Bad")</f>
        <v>Good</v>
      </c>
      <c r="Q174" t="str">
        <f t="shared" si="10"/>
        <v>OK</v>
      </c>
      <c r="R174" t="str">
        <f t="shared" si="11"/>
        <v>GOOD</v>
      </c>
      <c r="S174">
        <f t="shared" si="12"/>
        <v>0</v>
      </c>
      <c r="T174">
        <f t="shared" si="13"/>
        <v>0</v>
      </c>
      <c r="U174" t="str">
        <f t="shared" si="14"/>
        <v>OK</v>
      </c>
    </row>
    <row r="175" spans="1:21">
      <c r="A175" t="s">
        <v>187</v>
      </c>
      <c r="B175" t="s">
        <v>4342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 t="str">
        <f>IF((Sheet1[[#This Row],[Quantity]]*Sheet1[[#This Row],[UnitPrice]])=(Sheet1[[#This Row],[TotalPrice]]), "True", "False")</f>
        <v>True</v>
      </c>
      <c r="P175" t="str">
        <f>IF((Sheet1[[#This Row],[ItemsInCart]]&gt;=Sheet1[[#This Row],[Quantity]]), "Good", "Bad")</f>
        <v>Good</v>
      </c>
      <c r="Q175" t="str">
        <f t="shared" si="10"/>
        <v>OK</v>
      </c>
      <c r="R175" t="str">
        <f t="shared" si="11"/>
        <v>GOOD</v>
      </c>
      <c r="S175">
        <f t="shared" si="12"/>
        <v>0</v>
      </c>
      <c r="T175">
        <f t="shared" si="13"/>
        <v>0</v>
      </c>
      <c r="U175" t="str">
        <f t="shared" si="14"/>
        <v>OK</v>
      </c>
    </row>
    <row r="176" spans="1:21">
      <c r="A176" t="s">
        <v>188</v>
      </c>
      <c r="B176" t="s">
        <v>4445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 t="str">
        <f>IF((Sheet1[[#This Row],[Quantity]]*Sheet1[[#This Row],[UnitPrice]])=(Sheet1[[#This Row],[TotalPrice]]), "True", "False")</f>
        <v>True</v>
      </c>
      <c r="P176" t="str">
        <f>IF((Sheet1[[#This Row],[ItemsInCart]]&gt;=Sheet1[[#This Row],[Quantity]]), "Good", "Bad")</f>
        <v>Good</v>
      </c>
      <c r="Q176" t="str">
        <f t="shared" si="10"/>
        <v>OK</v>
      </c>
      <c r="R176" t="str">
        <f t="shared" si="11"/>
        <v>GOOD</v>
      </c>
      <c r="S176">
        <f t="shared" si="12"/>
        <v>0</v>
      </c>
      <c r="T176">
        <f t="shared" si="13"/>
        <v>0</v>
      </c>
      <c r="U176" t="str">
        <f t="shared" si="14"/>
        <v>OK</v>
      </c>
    </row>
    <row r="177" spans="1:21">
      <c r="A177" t="s">
        <v>189</v>
      </c>
      <c r="B177" t="s">
        <v>4446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 t="str">
        <f>IF((Sheet1[[#This Row],[Quantity]]*Sheet1[[#This Row],[UnitPrice]])=(Sheet1[[#This Row],[TotalPrice]]), "True", "False")</f>
        <v>True</v>
      </c>
      <c r="P177" t="str">
        <f>IF((Sheet1[[#This Row],[ItemsInCart]]&gt;=Sheet1[[#This Row],[Quantity]]), "Good", "Bad")</f>
        <v>Good</v>
      </c>
      <c r="Q177" t="str">
        <f t="shared" si="10"/>
        <v>OK</v>
      </c>
      <c r="R177" t="str">
        <f t="shared" si="11"/>
        <v>BAD</v>
      </c>
      <c r="S177">
        <f t="shared" si="12"/>
        <v>0</v>
      </c>
      <c r="T177">
        <f t="shared" si="13"/>
        <v>1</v>
      </c>
      <c r="U177" t="str">
        <f t="shared" si="14"/>
        <v>DOCUMENTED</v>
      </c>
    </row>
    <row r="178" spans="1:21">
      <c r="A178" t="s">
        <v>190</v>
      </c>
      <c r="B178" t="s">
        <v>4447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 t="str">
        <f>IF((Sheet1[[#This Row],[Quantity]]*Sheet1[[#This Row],[UnitPrice]])=(Sheet1[[#This Row],[TotalPrice]]), "True", "False")</f>
        <v>True</v>
      </c>
      <c r="P178" t="str">
        <f>IF((Sheet1[[#This Row],[ItemsInCart]]&gt;=Sheet1[[#This Row],[Quantity]]), "Good", "Bad")</f>
        <v>Good</v>
      </c>
      <c r="Q178" t="str">
        <f t="shared" si="10"/>
        <v>OK</v>
      </c>
      <c r="R178" t="str">
        <f t="shared" si="11"/>
        <v>BAD</v>
      </c>
      <c r="S178">
        <f t="shared" si="12"/>
        <v>0</v>
      </c>
      <c r="T178">
        <f t="shared" si="13"/>
        <v>1</v>
      </c>
      <c r="U178" t="str">
        <f t="shared" si="14"/>
        <v>DOCUMENTED</v>
      </c>
    </row>
    <row r="179" spans="1:21">
      <c r="A179" t="s">
        <v>191</v>
      </c>
      <c r="B179" t="s">
        <v>4448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4961</v>
      </c>
      <c r="M179" t="s">
        <v>4281</v>
      </c>
      <c r="N179">
        <v>2158.4499999999998</v>
      </c>
      <c r="O179" t="str">
        <f>IF((Sheet1[[#This Row],[Quantity]]*Sheet1[[#This Row],[UnitPrice]])=(Sheet1[[#This Row],[TotalPrice]]), "True", "False")</f>
        <v>True</v>
      </c>
      <c r="P179" t="str">
        <f>IF((Sheet1[[#This Row],[ItemsInCart]]&gt;=Sheet1[[#This Row],[Quantity]]), "Good", "Bad")</f>
        <v>Good</v>
      </c>
      <c r="Q179" t="str">
        <f t="shared" si="10"/>
        <v>OK</v>
      </c>
      <c r="R179" t="str">
        <f t="shared" si="11"/>
        <v>BAD</v>
      </c>
      <c r="S179">
        <f t="shared" si="12"/>
        <v>0</v>
      </c>
      <c r="T179">
        <f t="shared" si="13"/>
        <v>1</v>
      </c>
      <c r="U179" t="str">
        <f t="shared" si="14"/>
        <v>DOCUMENTED</v>
      </c>
    </row>
    <row r="180" spans="1:21">
      <c r="A180" t="s">
        <v>192</v>
      </c>
      <c r="B180" t="s">
        <v>4449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 t="str">
        <f>IF((Sheet1[[#This Row],[Quantity]]*Sheet1[[#This Row],[UnitPrice]])=(Sheet1[[#This Row],[TotalPrice]]), "True", "False")</f>
        <v>True</v>
      </c>
      <c r="P180" t="str">
        <f>IF((Sheet1[[#This Row],[ItemsInCart]]&gt;=Sheet1[[#This Row],[Quantity]]), "Good", "Bad")</f>
        <v>Good</v>
      </c>
      <c r="Q180" t="str">
        <f t="shared" si="10"/>
        <v>OK</v>
      </c>
      <c r="R180" t="str">
        <f t="shared" si="11"/>
        <v>GOOD</v>
      </c>
      <c r="S180">
        <f t="shared" si="12"/>
        <v>0</v>
      </c>
      <c r="T180">
        <f t="shared" si="13"/>
        <v>0</v>
      </c>
      <c r="U180" t="str">
        <f t="shared" si="14"/>
        <v>OK</v>
      </c>
    </row>
    <row r="181" spans="1:21">
      <c r="A181" t="s">
        <v>193</v>
      </c>
      <c r="B181" t="s">
        <v>4450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4961</v>
      </c>
      <c r="M181" t="s">
        <v>4280</v>
      </c>
      <c r="N181">
        <v>1619.73</v>
      </c>
      <c r="O181" t="str">
        <f>IF((Sheet1[[#This Row],[Quantity]]*Sheet1[[#This Row],[UnitPrice]])=(Sheet1[[#This Row],[TotalPrice]]), "True", "False")</f>
        <v>True</v>
      </c>
      <c r="P181" t="str">
        <f>IF((Sheet1[[#This Row],[ItemsInCart]]&gt;=Sheet1[[#This Row],[Quantity]]), "Good", "Bad")</f>
        <v>Good</v>
      </c>
      <c r="Q181" t="str">
        <f t="shared" si="10"/>
        <v>OK</v>
      </c>
      <c r="R181" t="str">
        <f t="shared" si="11"/>
        <v>GOOD</v>
      </c>
      <c r="S181">
        <f t="shared" si="12"/>
        <v>0</v>
      </c>
      <c r="T181">
        <f t="shared" si="13"/>
        <v>0</v>
      </c>
      <c r="U181" t="str">
        <f t="shared" si="14"/>
        <v>OK</v>
      </c>
    </row>
    <row r="182" spans="1:21">
      <c r="A182" t="s">
        <v>194</v>
      </c>
      <c r="B182" t="s">
        <v>4451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4961</v>
      </c>
      <c r="M182" t="s">
        <v>4282</v>
      </c>
      <c r="N182">
        <v>1580.35</v>
      </c>
      <c r="O182" t="str">
        <f>IF((Sheet1[[#This Row],[Quantity]]*Sheet1[[#This Row],[UnitPrice]])=(Sheet1[[#This Row],[TotalPrice]]), "True", "False")</f>
        <v>True</v>
      </c>
      <c r="P182" t="str">
        <f>IF((Sheet1[[#This Row],[ItemsInCart]]&gt;=Sheet1[[#This Row],[Quantity]]), "Good", "Bad")</f>
        <v>Good</v>
      </c>
      <c r="Q182" t="str">
        <f t="shared" si="10"/>
        <v>OK</v>
      </c>
      <c r="R182" t="str">
        <f t="shared" si="11"/>
        <v>GOOD</v>
      </c>
      <c r="S182">
        <f t="shared" si="12"/>
        <v>0</v>
      </c>
      <c r="T182">
        <f t="shared" si="13"/>
        <v>0</v>
      </c>
      <c r="U182" t="str">
        <f t="shared" si="14"/>
        <v>OK</v>
      </c>
    </row>
    <row r="183" spans="1:21">
      <c r="A183" t="s">
        <v>195</v>
      </c>
      <c r="B183" t="s">
        <v>4452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4961</v>
      </c>
      <c r="M183" t="s">
        <v>4279</v>
      </c>
      <c r="N183">
        <v>2021.95</v>
      </c>
      <c r="O183" t="str">
        <f>IF((Sheet1[[#This Row],[Quantity]]*Sheet1[[#This Row],[UnitPrice]])=(Sheet1[[#This Row],[TotalPrice]]), "True", "False")</f>
        <v>True</v>
      </c>
      <c r="P183" t="str">
        <f>IF((Sheet1[[#This Row],[ItemsInCart]]&gt;=Sheet1[[#This Row],[Quantity]]), "Good", "Bad")</f>
        <v>Good</v>
      </c>
      <c r="Q183" t="str">
        <f t="shared" si="10"/>
        <v>OK</v>
      </c>
      <c r="R183" t="str">
        <f t="shared" si="11"/>
        <v>GOOD</v>
      </c>
      <c r="S183">
        <f t="shared" si="12"/>
        <v>0</v>
      </c>
      <c r="T183">
        <f t="shared" si="13"/>
        <v>0</v>
      </c>
      <c r="U183" t="str">
        <f t="shared" si="14"/>
        <v>OK</v>
      </c>
    </row>
    <row r="184" spans="1:21">
      <c r="A184" t="s">
        <v>196</v>
      </c>
      <c r="B184" t="s">
        <v>4453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 t="str">
        <f>IF((Sheet1[[#This Row],[Quantity]]*Sheet1[[#This Row],[UnitPrice]])=(Sheet1[[#This Row],[TotalPrice]]), "True", "False")</f>
        <v>True</v>
      </c>
      <c r="P184" t="str">
        <f>IF((Sheet1[[#This Row],[ItemsInCart]]&gt;=Sheet1[[#This Row],[Quantity]]), "Good", "Bad")</f>
        <v>Good</v>
      </c>
      <c r="Q184" t="str">
        <f t="shared" si="10"/>
        <v>OK</v>
      </c>
      <c r="R184" t="str">
        <f t="shared" si="11"/>
        <v>BAD</v>
      </c>
      <c r="S184">
        <f t="shared" si="12"/>
        <v>0</v>
      </c>
      <c r="T184">
        <f t="shared" si="13"/>
        <v>1</v>
      </c>
      <c r="U184" t="str">
        <f t="shared" si="14"/>
        <v>DOCUMENTED</v>
      </c>
    </row>
    <row r="185" spans="1:21">
      <c r="A185" t="s">
        <v>197</v>
      </c>
      <c r="B185" t="s">
        <v>4454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 t="str">
        <f>IF((Sheet1[[#This Row],[Quantity]]*Sheet1[[#This Row],[UnitPrice]])=(Sheet1[[#This Row],[TotalPrice]]), "True", "False")</f>
        <v>True</v>
      </c>
      <c r="P185" t="str">
        <f>IF((Sheet1[[#This Row],[ItemsInCart]]&gt;=Sheet1[[#This Row],[Quantity]]), "Good", "Bad")</f>
        <v>Good</v>
      </c>
      <c r="Q185" t="str">
        <f t="shared" si="10"/>
        <v>OK</v>
      </c>
      <c r="R185" t="str">
        <f t="shared" si="11"/>
        <v>GOOD</v>
      </c>
      <c r="S185">
        <f t="shared" si="12"/>
        <v>0</v>
      </c>
      <c r="T185">
        <f t="shared" si="13"/>
        <v>0</v>
      </c>
      <c r="U185" t="str">
        <f t="shared" si="14"/>
        <v>OK</v>
      </c>
    </row>
    <row r="186" spans="1:21">
      <c r="A186" t="s">
        <v>198</v>
      </c>
      <c r="B186" t="s">
        <v>4455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4961</v>
      </c>
      <c r="M186" t="s">
        <v>4279</v>
      </c>
      <c r="N186">
        <v>858.16</v>
      </c>
      <c r="O186" t="str">
        <f>IF((Sheet1[[#This Row],[Quantity]]*Sheet1[[#This Row],[UnitPrice]])=(Sheet1[[#This Row],[TotalPrice]]), "True", "False")</f>
        <v>True</v>
      </c>
      <c r="P186" t="str">
        <f>IF((Sheet1[[#This Row],[ItemsInCart]]&gt;=Sheet1[[#This Row],[Quantity]]), "Good", "Bad")</f>
        <v>Good</v>
      </c>
      <c r="Q186" t="str">
        <f t="shared" si="10"/>
        <v>OK</v>
      </c>
      <c r="R186" t="str">
        <f t="shared" si="11"/>
        <v>BAD</v>
      </c>
      <c r="S186">
        <f t="shared" si="12"/>
        <v>0</v>
      </c>
      <c r="T186">
        <f t="shared" si="13"/>
        <v>1</v>
      </c>
      <c r="U186" t="str">
        <f t="shared" si="14"/>
        <v>REVIEW_RETURN</v>
      </c>
    </row>
    <row r="187" spans="1:21">
      <c r="A187" t="s">
        <v>199</v>
      </c>
      <c r="B187" t="s">
        <v>4344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 t="str">
        <f>IF((Sheet1[[#This Row],[Quantity]]*Sheet1[[#This Row],[UnitPrice]])=(Sheet1[[#This Row],[TotalPrice]]), "True", "False")</f>
        <v>True</v>
      </c>
      <c r="P187" t="str">
        <f>IF((Sheet1[[#This Row],[ItemsInCart]]&gt;=Sheet1[[#This Row],[Quantity]]), "Good", "Bad")</f>
        <v>Good</v>
      </c>
      <c r="Q187" t="str">
        <f t="shared" si="10"/>
        <v>OK</v>
      </c>
      <c r="R187" t="str">
        <f t="shared" si="11"/>
        <v>GOOD</v>
      </c>
      <c r="S187">
        <f t="shared" si="12"/>
        <v>0</v>
      </c>
      <c r="T187">
        <f t="shared" si="13"/>
        <v>0</v>
      </c>
      <c r="U187" t="str">
        <f t="shared" si="14"/>
        <v>OK</v>
      </c>
    </row>
    <row r="188" spans="1:21">
      <c r="A188" t="s">
        <v>200</v>
      </c>
      <c r="B188" t="s">
        <v>4456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 t="str">
        <f>IF((Sheet1[[#This Row],[Quantity]]*Sheet1[[#This Row],[UnitPrice]])=(Sheet1[[#This Row],[TotalPrice]]), "True", "False")</f>
        <v>True</v>
      </c>
      <c r="P188" t="str">
        <f>IF((Sheet1[[#This Row],[ItemsInCart]]&gt;=Sheet1[[#This Row],[Quantity]]), "Good", "Bad")</f>
        <v>Good</v>
      </c>
      <c r="Q188" t="str">
        <f t="shared" si="10"/>
        <v>OK</v>
      </c>
      <c r="R188" t="str">
        <f t="shared" si="11"/>
        <v>BAD</v>
      </c>
      <c r="S188">
        <f t="shared" si="12"/>
        <v>0</v>
      </c>
      <c r="T188">
        <f t="shared" si="13"/>
        <v>1</v>
      </c>
      <c r="U188" t="str">
        <f t="shared" si="14"/>
        <v>DOCUMENTED</v>
      </c>
    </row>
    <row r="189" spans="1:21">
      <c r="A189" t="s">
        <v>201</v>
      </c>
      <c r="B189" t="s">
        <v>4457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 t="str">
        <f>IF((Sheet1[[#This Row],[Quantity]]*Sheet1[[#This Row],[UnitPrice]])=(Sheet1[[#This Row],[TotalPrice]]), "True", "False")</f>
        <v>True</v>
      </c>
      <c r="P189" t="str">
        <f>IF((Sheet1[[#This Row],[ItemsInCart]]&gt;=Sheet1[[#This Row],[Quantity]]), "Good", "Bad")</f>
        <v>Good</v>
      </c>
      <c r="Q189" t="str">
        <f t="shared" si="10"/>
        <v>OK</v>
      </c>
      <c r="R189" t="str">
        <f t="shared" si="11"/>
        <v>GOOD</v>
      </c>
      <c r="S189">
        <f t="shared" si="12"/>
        <v>0</v>
      </c>
      <c r="T189">
        <f t="shared" si="13"/>
        <v>0</v>
      </c>
      <c r="U189" t="str">
        <f t="shared" si="14"/>
        <v>OK</v>
      </c>
    </row>
    <row r="190" spans="1:21">
      <c r="A190" t="s">
        <v>202</v>
      </c>
      <c r="B190" t="s">
        <v>4458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 t="str">
        <f>IF((Sheet1[[#This Row],[Quantity]]*Sheet1[[#This Row],[UnitPrice]])=(Sheet1[[#This Row],[TotalPrice]]), "True", "False")</f>
        <v>True</v>
      </c>
      <c r="P190" t="str">
        <f>IF((Sheet1[[#This Row],[ItemsInCart]]&gt;=Sheet1[[#This Row],[Quantity]]), "Good", "Bad")</f>
        <v>Good</v>
      </c>
      <c r="Q190" t="str">
        <f t="shared" si="10"/>
        <v>OK</v>
      </c>
      <c r="R190" t="str">
        <f t="shared" si="11"/>
        <v>GOOD</v>
      </c>
      <c r="S190">
        <f t="shared" si="12"/>
        <v>0</v>
      </c>
      <c r="T190">
        <f t="shared" si="13"/>
        <v>0</v>
      </c>
      <c r="U190" t="str">
        <f t="shared" si="14"/>
        <v>OK</v>
      </c>
    </row>
    <row r="191" spans="1:21">
      <c r="A191" t="s">
        <v>203</v>
      </c>
      <c r="B191" t="s">
        <v>4459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 t="str">
        <f>IF((Sheet1[[#This Row],[Quantity]]*Sheet1[[#This Row],[UnitPrice]])=(Sheet1[[#This Row],[TotalPrice]]), "True", "False")</f>
        <v>True</v>
      </c>
      <c r="P191" t="str">
        <f>IF((Sheet1[[#This Row],[ItemsInCart]]&gt;=Sheet1[[#This Row],[Quantity]]), "Good", "Bad")</f>
        <v>Good</v>
      </c>
      <c r="Q191" t="str">
        <f t="shared" si="10"/>
        <v>OK</v>
      </c>
      <c r="R191" t="str">
        <f t="shared" si="11"/>
        <v>BAD</v>
      </c>
      <c r="S191">
        <f t="shared" si="12"/>
        <v>0</v>
      </c>
      <c r="T191">
        <f t="shared" si="13"/>
        <v>1</v>
      </c>
      <c r="U191" t="str">
        <f t="shared" si="14"/>
        <v>REVIEW_RETURN</v>
      </c>
    </row>
    <row r="192" spans="1:21">
      <c r="A192" t="s">
        <v>204</v>
      </c>
      <c r="B192" t="s">
        <v>4452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 t="str">
        <f>IF((Sheet1[[#This Row],[Quantity]]*Sheet1[[#This Row],[UnitPrice]])=(Sheet1[[#This Row],[TotalPrice]]), "True", "False")</f>
        <v>True</v>
      </c>
      <c r="P192" t="str">
        <f>IF((Sheet1[[#This Row],[ItemsInCart]]&gt;=Sheet1[[#This Row],[Quantity]]), "Good", "Bad")</f>
        <v>Good</v>
      </c>
      <c r="Q192" t="str">
        <f t="shared" si="10"/>
        <v>OK</v>
      </c>
      <c r="R192" t="str">
        <f t="shared" si="11"/>
        <v>GOOD</v>
      </c>
      <c r="S192">
        <f t="shared" si="12"/>
        <v>0</v>
      </c>
      <c r="T192">
        <f t="shared" si="13"/>
        <v>0</v>
      </c>
      <c r="U192" t="str">
        <f t="shared" si="14"/>
        <v>OK</v>
      </c>
    </row>
    <row r="193" spans="1:21">
      <c r="A193" t="s">
        <v>205</v>
      </c>
      <c r="B193" t="s">
        <v>4460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 t="str">
        <f>IF((Sheet1[[#This Row],[Quantity]]*Sheet1[[#This Row],[UnitPrice]])=(Sheet1[[#This Row],[TotalPrice]]), "True", "False")</f>
        <v>True</v>
      </c>
      <c r="P193" t="str">
        <f>IF((Sheet1[[#This Row],[ItemsInCart]]&gt;=Sheet1[[#This Row],[Quantity]]), "Good", "Bad")</f>
        <v>Good</v>
      </c>
      <c r="Q193" t="str">
        <f t="shared" si="10"/>
        <v>OK</v>
      </c>
      <c r="R193" t="str">
        <f t="shared" si="11"/>
        <v>BAD</v>
      </c>
      <c r="S193">
        <f t="shared" si="12"/>
        <v>0</v>
      </c>
      <c r="T193">
        <f t="shared" si="13"/>
        <v>1</v>
      </c>
      <c r="U193" t="str">
        <f t="shared" si="14"/>
        <v>REVIEW_RETURN</v>
      </c>
    </row>
    <row r="194" spans="1:21">
      <c r="A194" t="s">
        <v>206</v>
      </c>
      <c r="B194" t="s">
        <v>4461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 t="str">
        <f>IF((Sheet1[[#This Row],[Quantity]]*Sheet1[[#This Row],[UnitPrice]])=(Sheet1[[#This Row],[TotalPrice]]), "True", "False")</f>
        <v>True</v>
      </c>
      <c r="P194" t="str">
        <f>IF((Sheet1[[#This Row],[ItemsInCart]]&gt;=Sheet1[[#This Row],[Quantity]]), "Good", "Bad")</f>
        <v>Good</v>
      </c>
      <c r="Q194" t="str">
        <f t="shared" ref="Q194:Q257" si="15">IF(AND(E194&gt;0, F194&gt;0,N194&gt;0),"OK","INVALID")</f>
        <v>OK</v>
      </c>
      <c r="R194" t="str">
        <f t="shared" ref="R194:R257" si="16">IF(OR(AND(OR(I194="Shipped",I194="Delivered",I194="Returned"),J194=""),AND(OR(I194="Processing",I194="Pending",I194="Cancelled"),J194&lt;&gt;"")),"BAD","GOOD")</f>
        <v>BAD</v>
      </c>
      <c r="S194">
        <f t="shared" ref="S194:S257" si="17">IF(AND(OR(I194="Shipped",I194="Delivered",I194="Returned"),J194=""),1,0)</f>
        <v>0</v>
      </c>
      <c r="T194">
        <f t="shared" ref="T194:T257" si="18">IF(AND(OR(I194="Processing",I194="Pending",I194="Cancelled"),J194&lt;&gt;""),1,0)</f>
        <v>1</v>
      </c>
      <c r="U194" t="str">
        <f t="shared" ref="U194:U257" si="19">IF(AND(OR(I194="Shipped",I194="Delivered"),J194=""),"MISSING_TRACKING", IF(AND(OR(I194="Processing",I194="Pending"),J194&lt;&gt;""),"DOCUMENTED", IF(AND(I194="Cancelled",J194&lt;&gt;""), "REVIEW_RETURN", "OK")))</f>
        <v>REVIEW_RETURN</v>
      </c>
    </row>
    <row r="195" spans="1:21">
      <c r="A195" t="s">
        <v>207</v>
      </c>
      <c r="B195" t="s">
        <v>4462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4961</v>
      </c>
      <c r="M195" t="s">
        <v>4282</v>
      </c>
      <c r="N195">
        <v>46.66</v>
      </c>
      <c r="O195" t="str">
        <f>IF((Sheet1[[#This Row],[Quantity]]*Sheet1[[#This Row],[UnitPrice]])=(Sheet1[[#This Row],[TotalPrice]]), "True", "False")</f>
        <v>True</v>
      </c>
      <c r="P195" t="str">
        <f>IF((Sheet1[[#This Row],[ItemsInCart]]&gt;=Sheet1[[#This Row],[Quantity]]), "Good", "Bad")</f>
        <v>Good</v>
      </c>
      <c r="Q195" t="str">
        <f t="shared" si="15"/>
        <v>OK</v>
      </c>
      <c r="R195" t="str">
        <f t="shared" si="16"/>
        <v>BAD</v>
      </c>
      <c r="S195">
        <f t="shared" si="17"/>
        <v>0</v>
      </c>
      <c r="T195">
        <f t="shared" si="18"/>
        <v>1</v>
      </c>
      <c r="U195" t="str">
        <f t="shared" si="19"/>
        <v>REVIEW_RETURN</v>
      </c>
    </row>
    <row r="196" spans="1:21">
      <c r="A196" t="s">
        <v>208</v>
      </c>
      <c r="B196" t="s">
        <v>4463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 t="str">
        <f>IF((Sheet1[[#This Row],[Quantity]]*Sheet1[[#This Row],[UnitPrice]])=(Sheet1[[#This Row],[TotalPrice]]), "True", "False")</f>
        <v>True</v>
      </c>
      <c r="P196" t="str">
        <f>IF((Sheet1[[#This Row],[ItemsInCart]]&gt;=Sheet1[[#This Row],[Quantity]]), "Good", "Bad")</f>
        <v>Good</v>
      </c>
      <c r="Q196" t="str">
        <f t="shared" si="15"/>
        <v>OK</v>
      </c>
      <c r="R196" t="str">
        <f t="shared" si="16"/>
        <v>GOOD</v>
      </c>
      <c r="S196">
        <f t="shared" si="17"/>
        <v>0</v>
      </c>
      <c r="T196">
        <f t="shared" si="18"/>
        <v>0</v>
      </c>
      <c r="U196" t="str">
        <f t="shared" si="19"/>
        <v>OK</v>
      </c>
    </row>
    <row r="197" spans="1:21">
      <c r="A197" t="s">
        <v>209</v>
      </c>
      <c r="B197" t="s">
        <v>4464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4961</v>
      </c>
      <c r="M197" t="s">
        <v>4280</v>
      </c>
      <c r="N197">
        <v>1857.63</v>
      </c>
      <c r="O197" t="str">
        <f>IF((Sheet1[[#This Row],[Quantity]]*Sheet1[[#This Row],[UnitPrice]])=(Sheet1[[#This Row],[TotalPrice]]), "True", "False")</f>
        <v>True</v>
      </c>
      <c r="P197" t="str">
        <f>IF((Sheet1[[#This Row],[ItemsInCart]]&gt;=Sheet1[[#This Row],[Quantity]]), "Good", "Bad")</f>
        <v>Good</v>
      </c>
      <c r="Q197" t="str">
        <f t="shared" si="15"/>
        <v>OK</v>
      </c>
      <c r="R197" t="str">
        <f t="shared" si="16"/>
        <v>BAD</v>
      </c>
      <c r="S197">
        <f t="shared" si="17"/>
        <v>0</v>
      </c>
      <c r="T197">
        <f t="shared" si="18"/>
        <v>1</v>
      </c>
      <c r="U197" t="str">
        <f t="shared" si="19"/>
        <v>REVIEW_RETURN</v>
      </c>
    </row>
    <row r="198" spans="1:21">
      <c r="A198" t="s">
        <v>210</v>
      </c>
      <c r="B198" t="s">
        <v>4465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 t="str">
        <f>IF((Sheet1[[#This Row],[Quantity]]*Sheet1[[#This Row],[UnitPrice]])=(Sheet1[[#This Row],[TotalPrice]]), "True", "False")</f>
        <v>True</v>
      </c>
      <c r="P198" t="str">
        <f>IF((Sheet1[[#This Row],[ItemsInCart]]&gt;=Sheet1[[#This Row],[Quantity]]), "Good", "Bad")</f>
        <v>Good</v>
      </c>
      <c r="Q198" t="str">
        <f t="shared" si="15"/>
        <v>OK</v>
      </c>
      <c r="R198" t="str">
        <f t="shared" si="16"/>
        <v>GOOD</v>
      </c>
      <c r="S198">
        <f t="shared" si="17"/>
        <v>0</v>
      </c>
      <c r="T198">
        <f t="shared" si="18"/>
        <v>0</v>
      </c>
      <c r="U198" t="str">
        <f t="shared" si="19"/>
        <v>OK</v>
      </c>
    </row>
    <row r="199" spans="1:21">
      <c r="A199" t="s">
        <v>211</v>
      </c>
      <c r="B199" t="s">
        <v>4466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 t="str">
        <f>IF((Sheet1[[#This Row],[Quantity]]*Sheet1[[#This Row],[UnitPrice]])=(Sheet1[[#This Row],[TotalPrice]]), "True", "False")</f>
        <v>True</v>
      </c>
      <c r="P199" t="str">
        <f>IF((Sheet1[[#This Row],[ItemsInCart]]&gt;=Sheet1[[#This Row],[Quantity]]), "Good", "Bad")</f>
        <v>Good</v>
      </c>
      <c r="Q199" t="str">
        <f t="shared" si="15"/>
        <v>OK</v>
      </c>
      <c r="R199" t="str">
        <f t="shared" si="16"/>
        <v>GOOD</v>
      </c>
      <c r="S199">
        <f t="shared" si="17"/>
        <v>0</v>
      </c>
      <c r="T199">
        <f t="shared" si="18"/>
        <v>0</v>
      </c>
      <c r="U199" t="str">
        <f t="shared" si="19"/>
        <v>OK</v>
      </c>
    </row>
    <row r="200" spans="1:21">
      <c r="A200" t="s">
        <v>212</v>
      </c>
      <c r="B200" t="s">
        <v>4467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 t="str">
        <f>IF((Sheet1[[#This Row],[Quantity]]*Sheet1[[#This Row],[UnitPrice]])=(Sheet1[[#This Row],[TotalPrice]]), "True", "False")</f>
        <v>True</v>
      </c>
      <c r="P200" t="str">
        <f>IF((Sheet1[[#This Row],[ItemsInCart]]&gt;=Sheet1[[#This Row],[Quantity]]), "Good", "Bad")</f>
        <v>Good</v>
      </c>
      <c r="Q200" t="str">
        <f t="shared" si="15"/>
        <v>OK</v>
      </c>
      <c r="R200" t="str">
        <f t="shared" si="16"/>
        <v>BAD</v>
      </c>
      <c r="S200">
        <f t="shared" si="17"/>
        <v>0</v>
      </c>
      <c r="T200">
        <f t="shared" si="18"/>
        <v>1</v>
      </c>
      <c r="U200" t="str">
        <f t="shared" si="19"/>
        <v>REVIEW_RETURN</v>
      </c>
    </row>
    <row r="201" spans="1:21">
      <c r="A201" t="s">
        <v>213</v>
      </c>
      <c r="B201" t="s">
        <v>4468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 t="str">
        <f>IF((Sheet1[[#This Row],[Quantity]]*Sheet1[[#This Row],[UnitPrice]])=(Sheet1[[#This Row],[TotalPrice]]), "True", "False")</f>
        <v>True</v>
      </c>
      <c r="P201" t="str">
        <f>IF((Sheet1[[#This Row],[ItemsInCart]]&gt;=Sheet1[[#This Row],[Quantity]]), "Good", "Bad")</f>
        <v>Good</v>
      </c>
      <c r="Q201" t="str">
        <f t="shared" si="15"/>
        <v>OK</v>
      </c>
      <c r="R201" t="str">
        <f t="shared" si="16"/>
        <v>GOOD</v>
      </c>
      <c r="S201">
        <f t="shared" si="17"/>
        <v>0</v>
      </c>
      <c r="T201">
        <f t="shared" si="18"/>
        <v>0</v>
      </c>
      <c r="U201" t="str">
        <f t="shared" si="19"/>
        <v>OK</v>
      </c>
    </row>
    <row r="202" spans="1:21">
      <c r="A202" t="s">
        <v>214</v>
      </c>
      <c r="B202" t="s">
        <v>4469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 t="str">
        <f>IF((Sheet1[[#This Row],[Quantity]]*Sheet1[[#This Row],[UnitPrice]])=(Sheet1[[#This Row],[TotalPrice]]), "True", "False")</f>
        <v>True</v>
      </c>
      <c r="P202" t="str">
        <f>IF((Sheet1[[#This Row],[ItemsInCart]]&gt;=Sheet1[[#This Row],[Quantity]]), "Good", "Bad")</f>
        <v>Good</v>
      </c>
      <c r="Q202" t="str">
        <f t="shared" si="15"/>
        <v>OK</v>
      </c>
      <c r="R202" t="str">
        <f t="shared" si="16"/>
        <v>GOOD</v>
      </c>
      <c r="S202">
        <f t="shared" si="17"/>
        <v>0</v>
      </c>
      <c r="T202">
        <f t="shared" si="18"/>
        <v>0</v>
      </c>
      <c r="U202" t="str">
        <f t="shared" si="19"/>
        <v>OK</v>
      </c>
    </row>
    <row r="203" spans="1:21">
      <c r="A203" t="s">
        <v>215</v>
      </c>
      <c r="B203" t="s">
        <v>4470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 t="str">
        <f>IF((Sheet1[[#This Row],[Quantity]]*Sheet1[[#This Row],[UnitPrice]])=(Sheet1[[#This Row],[TotalPrice]]), "True", "False")</f>
        <v>True</v>
      </c>
      <c r="P203" t="str">
        <f>IF((Sheet1[[#This Row],[ItemsInCart]]&gt;=Sheet1[[#This Row],[Quantity]]), "Good", "Bad")</f>
        <v>Good</v>
      </c>
      <c r="Q203" t="str">
        <f t="shared" si="15"/>
        <v>OK</v>
      </c>
      <c r="R203" t="str">
        <f t="shared" si="16"/>
        <v>GOOD</v>
      </c>
      <c r="S203">
        <f t="shared" si="17"/>
        <v>0</v>
      </c>
      <c r="T203">
        <f t="shared" si="18"/>
        <v>0</v>
      </c>
      <c r="U203" t="str">
        <f t="shared" si="19"/>
        <v>OK</v>
      </c>
    </row>
    <row r="204" spans="1:21">
      <c r="A204" t="s">
        <v>216</v>
      </c>
      <c r="B204" t="s">
        <v>4471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 t="str">
        <f>IF((Sheet1[[#This Row],[Quantity]]*Sheet1[[#This Row],[UnitPrice]])=(Sheet1[[#This Row],[TotalPrice]]), "True", "False")</f>
        <v>True</v>
      </c>
      <c r="P204" t="str">
        <f>IF((Sheet1[[#This Row],[ItemsInCart]]&gt;=Sheet1[[#This Row],[Quantity]]), "Good", "Bad")</f>
        <v>Good</v>
      </c>
      <c r="Q204" t="str">
        <f t="shared" si="15"/>
        <v>OK</v>
      </c>
      <c r="R204" t="str">
        <f t="shared" si="16"/>
        <v>BAD</v>
      </c>
      <c r="S204">
        <f t="shared" si="17"/>
        <v>0</v>
      </c>
      <c r="T204">
        <f t="shared" si="18"/>
        <v>1</v>
      </c>
      <c r="U204" t="str">
        <f t="shared" si="19"/>
        <v>REVIEW_RETURN</v>
      </c>
    </row>
    <row r="205" spans="1:21">
      <c r="A205" t="s">
        <v>217</v>
      </c>
      <c r="B205" t="s">
        <v>4377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 t="str">
        <f>IF((Sheet1[[#This Row],[Quantity]]*Sheet1[[#This Row],[UnitPrice]])=(Sheet1[[#This Row],[TotalPrice]]), "True", "False")</f>
        <v>True</v>
      </c>
      <c r="P205" t="str">
        <f>IF((Sheet1[[#This Row],[ItemsInCart]]&gt;=Sheet1[[#This Row],[Quantity]]), "Good", "Bad")</f>
        <v>Good</v>
      </c>
      <c r="Q205" t="str">
        <f t="shared" si="15"/>
        <v>OK</v>
      </c>
      <c r="R205" t="str">
        <f t="shared" si="16"/>
        <v>GOOD</v>
      </c>
      <c r="S205">
        <f t="shared" si="17"/>
        <v>0</v>
      </c>
      <c r="T205">
        <f t="shared" si="18"/>
        <v>0</v>
      </c>
      <c r="U205" t="str">
        <f t="shared" si="19"/>
        <v>OK</v>
      </c>
    </row>
    <row r="206" spans="1:21">
      <c r="A206" t="s">
        <v>218</v>
      </c>
      <c r="B206" t="s">
        <v>4472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 t="str">
        <f>IF((Sheet1[[#This Row],[Quantity]]*Sheet1[[#This Row],[UnitPrice]])=(Sheet1[[#This Row],[TotalPrice]]), "True", "False")</f>
        <v>True</v>
      </c>
      <c r="P206" t="str">
        <f>IF((Sheet1[[#This Row],[ItemsInCart]]&gt;=Sheet1[[#This Row],[Quantity]]), "Good", "Bad")</f>
        <v>Good</v>
      </c>
      <c r="Q206" t="str">
        <f t="shared" si="15"/>
        <v>OK</v>
      </c>
      <c r="R206" t="str">
        <f t="shared" si="16"/>
        <v>BAD</v>
      </c>
      <c r="S206">
        <f t="shared" si="17"/>
        <v>0</v>
      </c>
      <c r="T206">
        <f t="shared" si="18"/>
        <v>1</v>
      </c>
      <c r="U206" t="str">
        <f t="shared" si="19"/>
        <v>REVIEW_RETURN</v>
      </c>
    </row>
    <row r="207" spans="1:21">
      <c r="A207" t="s">
        <v>219</v>
      </c>
      <c r="B207" t="s">
        <v>4473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4961</v>
      </c>
      <c r="M207" t="s">
        <v>4280</v>
      </c>
      <c r="N207">
        <v>442.17</v>
      </c>
      <c r="O207" t="str">
        <f>IF((Sheet1[[#This Row],[Quantity]]*Sheet1[[#This Row],[UnitPrice]])=(Sheet1[[#This Row],[TotalPrice]]), "True", "False")</f>
        <v>True</v>
      </c>
      <c r="P207" t="str">
        <f>IF((Sheet1[[#This Row],[ItemsInCart]]&gt;=Sheet1[[#This Row],[Quantity]]), "Good", "Bad")</f>
        <v>Good</v>
      </c>
      <c r="Q207" t="str">
        <f t="shared" si="15"/>
        <v>OK</v>
      </c>
      <c r="R207" t="str">
        <f t="shared" si="16"/>
        <v>GOOD</v>
      </c>
      <c r="S207">
        <f t="shared" si="17"/>
        <v>0</v>
      </c>
      <c r="T207">
        <f t="shared" si="18"/>
        <v>0</v>
      </c>
      <c r="U207" t="str">
        <f t="shared" si="19"/>
        <v>OK</v>
      </c>
    </row>
    <row r="208" spans="1:21">
      <c r="A208" t="s">
        <v>220</v>
      </c>
      <c r="B208" t="s">
        <v>4445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 t="str">
        <f>IF((Sheet1[[#This Row],[Quantity]]*Sheet1[[#This Row],[UnitPrice]])=(Sheet1[[#This Row],[TotalPrice]]), "True", "False")</f>
        <v>True</v>
      </c>
      <c r="P208" t="str">
        <f>IF((Sheet1[[#This Row],[ItemsInCart]]&gt;=Sheet1[[#This Row],[Quantity]]), "Good", "Bad")</f>
        <v>Good</v>
      </c>
      <c r="Q208" t="str">
        <f t="shared" si="15"/>
        <v>OK</v>
      </c>
      <c r="R208" t="str">
        <f t="shared" si="16"/>
        <v>GOOD</v>
      </c>
      <c r="S208">
        <f t="shared" si="17"/>
        <v>0</v>
      </c>
      <c r="T208">
        <f t="shared" si="18"/>
        <v>0</v>
      </c>
      <c r="U208" t="str">
        <f t="shared" si="19"/>
        <v>OK</v>
      </c>
    </row>
    <row r="209" spans="1:21">
      <c r="A209" t="s">
        <v>221</v>
      </c>
      <c r="B209" t="s">
        <v>4474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4961</v>
      </c>
      <c r="M209" t="s">
        <v>4282</v>
      </c>
      <c r="N209">
        <v>121.96</v>
      </c>
      <c r="O209" t="str">
        <f>IF((Sheet1[[#This Row],[Quantity]]*Sheet1[[#This Row],[UnitPrice]])=(Sheet1[[#This Row],[TotalPrice]]), "True", "False")</f>
        <v>True</v>
      </c>
      <c r="P209" t="str">
        <f>IF((Sheet1[[#This Row],[ItemsInCart]]&gt;=Sheet1[[#This Row],[Quantity]]), "Good", "Bad")</f>
        <v>Good</v>
      </c>
      <c r="Q209" t="str">
        <f t="shared" si="15"/>
        <v>OK</v>
      </c>
      <c r="R209" t="str">
        <f t="shared" si="16"/>
        <v>GOOD</v>
      </c>
      <c r="S209">
        <f t="shared" si="17"/>
        <v>0</v>
      </c>
      <c r="T209">
        <f t="shared" si="18"/>
        <v>0</v>
      </c>
      <c r="U209" t="str">
        <f t="shared" si="19"/>
        <v>OK</v>
      </c>
    </row>
    <row r="210" spans="1:21">
      <c r="A210" t="s">
        <v>222</v>
      </c>
      <c r="B210" t="s">
        <v>4475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 t="str">
        <f>IF((Sheet1[[#This Row],[Quantity]]*Sheet1[[#This Row],[UnitPrice]])=(Sheet1[[#This Row],[TotalPrice]]), "True", "False")</f>
        <v>True</v>
      </c>
      <c r="P210" t="str">
        <f>IF((Sheet1[[#This Row],[ItemsInCart]]&gt;=Sheet1[[#This Row],[Quantity]]), "Good", "Bad")</f>
        <v>Good</v>
      </c>
      <c r="Q210" t="str">
        <f t="shared" si="15"/>
        <v>OK</v>
      </c>
      <c r="R210" t="str">
        <f t="shared" si="16"/>
        <v>GOOD</v>
      </c>
      <c r="S210">
        <f t="shared" si="17"/>
        <v>0</v>
      </c>
      <c r="T210">
        <f t="shared" si="18"/>
        <v>0</v>
      </c>
      <c r="U210" t="str">
        <f t="shared" si="19"/>
        <v>OK</v>
      </c>
    </row>
    <row r="211" spans="1:21">
      <c r="A211" t="s">
        <v>223</v>
      </c>
      <c r="B211" t="s">
        <v>4476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 t="str">
        <f>IF((Sheet1[[#This Row],[Quantity]]*Sheet1[[#This Row],[UnitPrice]])=(Sheet1[[#This Row],[TotalPrice]]), "True", "False")</f>
        <v>True</v>
      </c>
      <c r="P211" t="str">
        <f>IF((Sheet1[[#This Row],[ItemsInCart]]&gt;=Sheet1[[#This Row],[Quantity]]), "Good", "Bad")</f>
        <v>Good</v>
      </c>
      <c r="Q211" t="str">
        <f t="shared" si="15"/>
        <v>OK</v>
      </c>
      <c r="R211" t="str">
        <f t="shared" si="16"/>
        <v>GOOD</v>
      </c>
      <c r="S211">
        <f t="shared" si="17"/>
        <v>0</v>
      </c>
      <c r="T211">
        <f t="shared" si="18"/>
        <v>0</v>
      </c>
      <c r="U211" t="str">
        <f t="shared" si="19"/>
        <v>OK</v>
      </c>
    </row>
    <row r="212" spans="1:21">
      <c r="A212" t="s">
        <v>224</v>
      </c>
      <c r="B212" t="s">
        <v>4477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 t="str">
        <f>IF((Sheet1[[#This Row],[Quantity]]*Sheet1[[#This Row],[UnitPrice]])=(Sheet1[[#This Row],[TotalPrice]]), "True", "False")</f>
        <v>True</v>
      </c>
      <c r="P212" t="str">
        <f>IF((Sheet1[[#This Row],[ItemsInCart]]&gt;=Sheet1[[#This Row],[Quantity]]), "Good", "Bad")</f>
        <v>Good</v>
      </c>
      <c r="Q212" t="str">
        <f t="shared" si="15"/>
        <v>OK</v>
      </c>
      <c r="R212" t="str">
        <f t="shared" si="16"/>
        <v>GOOD</v>
      </c>
      <c r="S212">
        <f t="shared" si="17"/>
        <v>0</v>
      </c>
      <c r="T212">
        <f t="shared" si="18"/>
        <v>0</v>
      </c>
      <c r="U212" t="str">
        <f t="shared" si="19"/>
        <v>OK</v>
      </c>
    </row>
    <row r="213" spans="1:21">
      <c r="A213" t="s">
        <v>225</v>
      </c>
      <c r="B213" t="s">
        <v>4478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 t="str">
        <f>IF((Sheet1[[#This Row],[Quantity]]*Sheet1[[#This Row],[UnitPrice]])=(Sheet1[[#This Row],[TotalPrice]]), "True", "False")</f>
        <v>True</v>
      </c>
      <c r="P213" t="str">
        <f>IF((Sheet1[[#This Row],[ItemsInCart]]&gt;=Sheet1[[#This Row],[Quantity]]), "Good", "Bad")</f>
        <v>Good</v>
      </c>
      <c r="Q213" t="str">
        <f t="shared" si="15"/>
        <v>OK</v>
      </c>
      <c r="R213" t="str">
        <f t="shared" si="16"/>
        <v>BAD</v>
      </c>
      <c r="S213">
        <f t="shared" si="17"/>
        <v>0</v>
      </c>
      <c r="T213">
        <f t="shared" si="18"/>
        <v>1</v>
      </c>
      <c r="U213" t="str">
        <f t="shared" si="19"/>
        <v>DOCUMENTED</v>
      </c>
    </row>
    <row r="214" spans="1:21">
      <c r="A214" t="s">
        <v>226</v>
      </c>
      <c r="B214" t="s">
        <v>4479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 t="str">
        <f>IF((Sheet1[[#This Row],[Quantity]]*Sheet1[[#This Row],[UnitPrice]])=(Sheet1[[#This Row],[TotalPrice]]), "True", "False")</f>
        <v>True</v>
      </c>
      <c r="P214" t="str">
        <f>IF((Sheet1[[#This Row],[ItemsInCart]]&gt;=Sheet1[[#This Row],[Quantity]]), "Good", "Bad")</f>
        <v>Good</v>
      </c>
      <c r="Q214" t="str">
        <f t="shared" si="15"/>
        <v>OK</v>
      </c>
      <c r="R214" t="str">
        <f t="shared" si="16"/>
        <v>BAD</v>
      </c>
      <c r="S214">
        <f t="shared" si="17"/>
        <v>0</v>
      </c>
      <c r="T214">
        <f t="shared" si="18"/>
        <v>1</v>
      </c>
      <c r="U214" t="str">
        <f t="shared" si="19"/>
        <v>REVIEW_RETURN</v>
      </c>
    </row>
    <row r="215" spans="1:21">
      <c r="A215" t="s">
        <v>227</v>
      </c>
      <c r="B215" t="s">
        <v>4480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 t="str">
        <f>IF((Sheet1[[#This Row],[Quantity]]*Sheet1[[#This Row],[UnitPrice]])=(Sheet1[[#This Row],[TotalPrice]]), "True", "False")</f>
        <v>True</v>
      </c>
      <c r="P215" t="str">
        <f>IF((Sheet1[[#This Row],[ItemsInCart]]&gt;=Sheet1[[#This Row],[Quantity]]), "Good", "Bad")</f>
        <v>Good</v>
      </c>
      <c r="Q215" t="str">
        <f t="shared" si="15"/>
        <v>OK</v>
      </c>
      <c r="R215" t="str">
        <f t="shared" si="16"/>
        <v>BAD</v>
      </c>
      <c r="S215">
        <f t="shared" si="17"/>
        <v>0</v>
      </c>
      <c r="T215">
        <f t="shared" si="18"/>
        <v>1</v>
      </c>
      <c r="U215" t="str">
        <f t="shared" si="19"/>
        <v>REVIEW_RETURN</v>
      </c>
    </row>
    <row r="216" spans="1:21">
      <c r="A216" t="s">
        <v>228</v>
      </c>
      <c r="B216" t="s">
        <v>4341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4961</v>
      </c>
      <c r="M216" t="s">
        <v>4281</v>
      </c>
      <c r="N216">
        <v>1222.8800000000001</v>
      </c>
      <c r="O216" t="str">
        <f>IF((Sheet1[[#This Row],[Quantity]]*Sheet1[[#This Row],[UnitPrice]])=(Sheet1[[#This Row],[TotalPrice]]), "True", "False")</f>
        <v>True</v>
      </c>
      <c r="P216" t="str">
        <f>IF((Sheet1[[#This Row],[ItemsInCart]]&gt;=Sheet1[[#This Row],[Quantity]]), "Good", "Bad")</f>
        <v>Good</v>
      </c>
      <c r="Q216" t="str">
        <f t="shared" si="15"/>
        <v>OK</v>
      </c>
      <c r="R216" t="str">
        <f t="shared" si="16"/>
        <v>GOOD</v>
      </c>
      <c r="S216">
        <f t="shared" si="17"/>
        <v>0</v>
      </c>
      <c r="T216">
        <f t="shared" si="18"/>
        <v>0</v>
      </c>
      <c r="U216" t="str">
        <f t="shared" si="19"/>
        <v>OK</v>
      </c>
    </row>
    <row r="217" spans="1:21">
      <c r="A217" t="s">
        <v>229</v>
      </c>
      <c r="B217" t="s">
        <v>4404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 t="str">
        <f>IF((Sheet1[[#This Row],[Quantity]]*Sheet1[[#This Row],[UnitPrice]])=(Sheet1[[#This Row],[TotalPrice]]), "True", "False")</f>
        <v>True</v>
      </c>
      <c r="P217" t="str">
        <f>IF((Sheet1[[#This Row],[ItemsInCart]]&gt;=Sheet1[[#This Row],[Quantity]]), "Good", "Bad")</f>
        <v>Good</v>
      </c>
      <c r="Q217" t="str">
        <f t="shared" si="15"/>
        <v>OK</v>
      </c>
      <c r="R217" t="str">
        <f t="shared" si="16"/>
        <v>GOOD</v>
      </c>
      <c r="S217">
        <f t="shared" si="17"/>
        <v>0</v>
      </c>
      <c r="T217">
        <f t="shared" si="18"/>
        <v>0</v>
      </c>
      <c r="U217" t="str">
        <f t="shared" si="19"/>
        <v>OK</v>
      </c>
    </row>
    <row r="218" spans="1:21">
      <c r="A218" t="s">
        <v>230</v>
      </c>
      <c r="B218" t="s">
        <v>4481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 t="str">
        <f>IF((Sheet1[[#This Row],[Quantity]]*Sheet1[[#This Row],[UnitPrice]])=(Sheet1[[#This Row],[TotalPrice]]), "True", "False")</f>
        <v>True</v>
      </c>
      <c r="P218" t="str">
        <f>IF((Sheet1[[#This Row],[ItemsInCart]]&gt;=Sheet1[[#This Row],[Quantity]]), "Good", "Bad")</f>
        <v>Good</v>
      </c>
      <c r="Q218" t="str">
        <f t="shared" si="15"/>
        <v>OK</v>
      </c>
      <c r="R218" t="str">
        <f t="shared" si="16"/>
        <v>BAD</v>
      </c>
      <c r="S218">
        <f t="shared" si="17"/>
        <v>0</v>
      </c>
      <c r="T218">
        <f t="shared" si="18"/>
        <v>1</v>
      </c>
      <c r="U218" t="str">
        <f t="shared" si="19"/>
        <v>REVIEW_RETURN</v>
      </c>
    </row>
    <row r="219" spans="1:21">
      <c r="A219" t="s">
        <v>231</v>
      </c>
      <c r="B219" t="s">
        <v>4482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4961</v>
      </c>
      <c r="M219" t="s">
        <v>4282</v>
      </c>
      <c r="N219">
        <v>1286.04</v>
      </c>
      <c r="O219" t="str">
        <f>IF((Sheet1[[#This Row],[Quantity]]*Sheet1[[#This Row],[UnitPrice]])=(Sheet1[[#This Row],[TotalPrice]]), "True", "False")</f>
        <v>True</v>
      </c>
      <c r="P219" t="str">
        <f>IF((Sheet1[[#This Row],[ItemsInCart]]&gt;=Sheet1[[#This Row],[Quantity]]), "Good", "Bad")</f>
        <v>Good</v>
      </c>
      <c r="Q219" t="str">
        <f t="shared" si="15"/>
        <v>OK</v>
      </c>
      <c r="R219" t="str">
        <f t="shared" si="16"/>
        <v>GOOD</v>
      </c>
      <c r="S219">
        <f t="shared" si="17"/>
        <v>0</v>
      </c>
      <c r="T219">
        <f t="shared" si="18"/>
        <v>0</v>
      </c>
      <c r="U219" t="str">
        <f t="shared" si="19"/>
        <v>OK</v>
      </c>
    </row>
    <row r="220" spans="1:21">
      <c r="A220" t="s">
        <v>232</v>
      </c>
      <c r="B220" t="s">
        <v>4483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 t="str">
        <f>IF((Sheet1[[#This Row],[Quantity]]*Sheet1[[#This Row],[UnitPrice]])=(Sheet1[[#This Row],[TotalPrice]]), "True", "False")</f>
        <v>True</v>
      </c>
      <c r="P220" t="str">
        <f>IF((Sheet1[[#This Row],[ItemsInCart]]&gt;=Sheet1[[#This Row],[Quantity]]), "Good", "Bad")</f>
        <v>Good</v>
      </c>
      <c r="Q220" t="str">
        <f t="shared" si="15"/>
        <v>OK</v>
      </c>
      <c r="R220" t="str">
        <f t="shared" si="16"/>
        <v>GOOD</v>
      </c>
      <c r="S220">
        <f t="shared" si="17"/>
        <v>0</v>
      </c>
      <c r="T220">
        <f t="shared" si="18"/>
        <v>0</v>
      </c>
      <c r="U220" t="str">
        <f t="shared" si="19"/>
        <v>OK</v>
      </c>
    </row>
    <row r="221" spans="1:21">
      <c r="A221" t="s">
        <v>233</v>
      </c>
      <c r="B221" t="s">
        <v>4484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 t="str">
        <f>IF((Sheet1[[#This Row],[Quantity]]*Sheet1[[#This Row],[UnitPrice]])=(Sheet1[[#This Row],[TotalPrice]]), "True", "False")</f>
        <v>True</v>
      </c>
      <c r="P221" t="str">
        <f>IF((Sheet1[[#This Row],[ItemsInCart]]&gt;=Sheet1[[#This Row],[Quantity]]), "Good", "Bad")</f>
        <v>Good</v>
      </c>
      <c r="Q221" t="str">
        <f t="shared" si="15"/>
        <v>OK</v>
      </c>
      <c r="R221" t="str">
        <f t="shared" si="16"/>
        <v>GOOD</v>
      </c>
      <c r="S221">
        <f t="shared" si="17"/>
        <v>0</v>
      </c>
      <c r="T221">
        <f t="shared" si="18"/>
        <v>0</v>
      </c>
      <c r="U221" t="str">
        <f t="shared" si="19"/>
        <v>OK</v>
      </c>
    </row>
    <row r="222" spans="1:21">
      <c r="A222" t="s">
        <v>234</v>
      </c>
      <c r="B222" t="s">
        <v>4485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 t="str">
        <f>IF((Sheet1[[#This Row],[Quantity]]*Sheet1[[#This Row],[UnitPrice]])=(Sheet1[[#This Row],[TotalPrice]]), "True", "False")</f>
        <v>True</v>
      </c>
      <c r="P222" t="str">
        <f>IF((Sheet1[[#This Row],[ItemsInCart]]&gt;=Sheet1[[#This Row],[Quantity]]), "Good", "Bad")</f>
        <v>Good</v>
      </c>
      <c r="Q222" t="str">
        <f t="shared" si="15"/>
        <v>OK</v>
      </c>
      <c r="R222" t="str">
        <f t="shared" si="16"/>
        <v>BAD</v>
      </c>
      <c r="S222">
        <f t="shared" si="17"/>
        <v>0</v>
      </c>
      <c r="T222">
        <f t="shared" si="18"/>
        <v>1</v>
      </c>
      <c r="U222" t="str">
        <f t="shared" si="19"/>
        <v>DOCUMENTED</v>
      </c>
    </row>
    <row r="223" spans="1:21">
      <c r="A223" t="s">
        <v>235</v>
      </c>
      <c r="B223" t="s">
        <v>4486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 t="str">
        <f>IF((Sheet1[[#This Row],[Quantity]]*Sheet1[[#This Row],[UnitPrice]])=(Sheet1[[#This Row],[TotalPrice]]), "True", "False")</f>
        <v>True</v>
      </c>
      <c r="P223" t="str">
        <f>IF((Sheet1[[#This Row],[ItemsInCart]]&gt;=Sheet1[[#This Row],[Quantity]]), "Good", "Bad")</f>
        <v>Good</v>
      </c>
      <c r="Q223" t="str">
        <f t="shared" si="15"/>
        <v>OK</v>
      </c>
      <c r="R223" t="str">
        <f t="shared" si="16"/>
        <v>BAD</v>
      </c>
      <c r="S223">
        <f t="shared" si="17"/>
        <v>0</v>
      </c>
      <c r="T223">
        <f t="shared" si="18"/>
        <v>1</v>
      </c>
      <c r="U223" t="str">
        <f t="shared" si="19"/>
        <v>DOCUMENTED</v>
      </c>
    </row>
    <row r="224" spans="1:21">
      <c r="A224" t="s">
        <v>236</v>
      </c>
      <c r="B224" t="s">
        <v>4487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4961</v>
      </c>
      <c r="M224" t="s">
        <v>4278</v>
      </c>
      <c r="N224">
        <v>2773.44</v>
      </c>
      <c r="O224" t="str">
        <f>IF((Sheet1[[#This Row],[Quantity]]*Sheet1[[#This Row],[UnitPrice]])=(Sheet1[[#This Row],[TotalPrice]]), "True", "False")</f>
        <v>True</v>
      </c>
      <c r="P224" t="str">
        <f>IF((Sheet1[[#This Row],[ItemsInCart]]&gt;=Sheet1[[#This Row],[Quantity]]), "Good", "Bad")</f>
        <v>Good</v>
      </c>
      <c r="Q224" t="str">
        <f t="shared" si="15"/>
        <v>OK</v>
      </c>
      <c r="R224" t="str">
        <f t="shared" si="16"/>
        <v>GOOD</v>
      </c>
      <c r="S224">
        <f t="shared" si="17"/>
        <v>0</v>
      </c>
      <c r="T224">
        <f t="shared" si="18"/>
        <v>0</v>
      </c>
      <c r="U224" t="str">
        <f t="shared" si="19"/>
        <v>OK</v>
      </c>
    </row>
    <row r="225" spans="1:21">
      <c r="A225" t="s">
        <v>237</v>
      </c>
      <c r="B225" t="s">
        <v>4340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 t="str">
        <f>IF((Sheet1[[#This Row],[Quantity]]*Sheet1[[#This Row],[UnitPrice]])=(Sheet1[[#This Row],[TotalPrice]]), "True", "False")</f>
        <v>True</v>
      </c>
      <c r="P225" t="str">
        <f>IF((Sheet1[[#This Row],[ItemsInCart]]&gt;=Sheet1[[#This Row],[Quantity]]), "Good", "Bad")</f>
        <v>Good</v>
      </c>
      <c r="Q225" t="str">
        <f t="shared" si="15"/>
        <v>OK</v>
      </c>
      <c r="R225" t="str">
        <f t="shared" si="16"/>
        <v>BAD</v>
      </c>
      <c r="S225">
        <f t="shared" si="17"/>
        <v>0</v>
      </c>
      <c r="T225">
        <f t="shared" si="18"/>
        <v>1</v>
      </c>
      <c r="U225" t="str">
        <f t="shared" si="19"/>
        <v>DOCUMENTED</v>
      </c>
    </row>
    <row r="226" spans="1:21">
      <c r="A226" t="s">
        <v>238</v>
      </c>
      <c r="B226" t="s">
        <v>4488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 t="str">
        <f>IF((Sheet1[[#This Row],[Quantity]]*Sheet1[[#This Row],[UnitPrice]])=(Sheet1[[#This Row],[TotalPrice]]), "True", "False")</f>
        <v>True</v>
      </c>
      <c r="P226" t="str">
        <f>IF((Sheet1[[#This Row],[ItemsInCart]]&gt;=Sheet1[[#This Row],[Quantity]]), "Good", "Bad")</f>
        <v>Good</v>
      </c>
      <c r="Q226" t="str">
        <f t="shared" si="15"/>
        <v>OK</v>
      </c>
      <c r="R226" t="str">
        <f t="shared" si="16"/>
        <v>BAD</v>
      </c>
      <c r="S226">
        <f t="shared" si="17"/>
        <v>0</v>
      </c>
      <c r="T226">
        <f t="shared" si="18"/>
        <v>1</v>
      </c>
      <c r="U226" t="str">
        <f t="shared" si="19"/>
        <v>REVIEW_RETURN</v>
      </c>
    </row>
    <row r="227" spans="1:21">
      <c r="A227" t="s">
        <v>239</v>
      </c>
      <c r="B227" t="s">
        <v>4489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 t="str">
        <f>IF((Sheet1[[#This Row],[Quantity]]*Sheet1[[#This Row],[UnitPrice]])=(Sheet1[[#This Row],[TotalPrice]]), "True", "False")</f>
        <v>True</v>
      </c>
      <c r="P227" t="str">
        <f>IF((Sheet1[[#This Row],[ItemsInCart]]&gt;=Sheet1[[#This Row],[Quantity]]), "Good", "Bad")</f>
        <v>Good</v>
      </c>
      <c r="Q227" t="str">
        <f t="shared" si="15"/>
        <v>OK</v>
      </c>
      <c r="R227" t="str">
        <f t="shared" si="16"/>
        <v>GOOD</v>
      </c>
      <c r="S227">
        <f t="shared" si="17"/>
        <v>0</v>
      </c>
      <c r="T227">
        <f t="shared" si="18"/>
        <v>0</v>
      </c>
      <c r="U227" t="str">
        <f t="shared" si="19"/>
        <v>OK</v>
      </c>
    </row>
    <row r="228" spans="1:21">
      <c r="A228" t="s">
        <v>240</v>
      </c>
      <c r="B228" t="s">
        <v>4490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4961</v>
      </c>
      <c r="M228" t="s">
        <v>4278</v>
      </c>
      <c r="N228">
        <v>1764.15</v>
      </c>
      <c r="O228" t="str">
        <f>IF((Sheet1[[#This Row],[Quantity]]*Sheet1[[#This Row],[UnitPrice]])=(Sheet1[[#This Row],[TotalPrice]]), "True", "False")</f>
        <v>True</v>
      </c>
      <c r="P228" t="str">
        <f>IF((Sheet1[[#This Row],[ItemsInCart]]&gt;=Sheet1[[#This Row],[Quantity]]), "Good", "Bad")</f>
        <v>Good</v>
      </c>
      <c r="Q228" t="str">
        <f t="shared" si="15"/>
        <v>OK</v>
      </c>
      <c r="R228" t="str">
        <f t="shared" si="16"/>
        <v>GOOD</v>
      </c>
      <c r="S228">
        <f t="shared" si="17"/>
        <v>0</v>
      </c>
      <c r="T228">
        <f t="shared" si="18"/>
        <v>0</v>
      </c>
      <c r="U228" t="str">
        <f t="shared" si="19"/>
        <v>OK</v>
      </c>
    </row>
    <row r="229" spans="1:21">
      <c r="A229" t="s">
        <v>241</v>
      </c>
      <c r="B229" t="s">
        <v>4491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 t="str">
        <f>IF((Sheet1[[#This Row],[Quantity]]*Sheet1[[#This Row],[UnitPrice]])=(Sheet1[[#This Row],[TotalPrice]]), "True", "False")</f>
        <v>True</v>
      </c>
      <c r="P229" t="str">
        <f>IF((Sheet1[[#This Row],[ItemsInCart]]&gt;=Sheet1[[#This Row],[Quantity]]), "Good", "Bad")</f>
        <v>Good</v>
      </c>
      <c r="Q229" t="str">
        <f t="shared" si="15"/>
        <v>OK</v>
      </c>
      <c r="R229" t="str">
        <f t="shared" si="16"/>
        <v>BAD</v>
      </c>
      <c r="S229">
        <f t="shared" si="17"/>
        <v>0</v>
      </c>
      <c r="T229">
        <f t="shared" si="18"/>
        <v>1</v>
      </c>
      <c r="U229" t="str">
        <f t="shared" si="19"/>
        <v>REVIEW_RETURN</v>
      </c>
    </row>
    <row r="230" spans="1:21">
      <c r="A230" t="s">
        <v>242</v>
      </c>
      <c r="B230" t="s">
        <v>4492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4961</v>
      </c>
      <c r="M230" t="s">
        <v>4278</v>
      </c>
      <c r="N230">
        <v>1543.68</v>
      </c>
      <c r="O230" t="str">
        <f>IF((Sheet1[[#This Row],[Quantity]]*Sheet1[[#This Row],[UnitPrice]])=(Sheet1[[#This Row],[TotalPrice]]), "True", "False")</f>
        <v>True</v>
      </c>
      <c r="P230" t="str">
        <f>IF((Sheet1[[#This Row],[ItemsInCart]]&gt;=Sheet1[[#This Row],[Quantity]]), "Good", "Bad")</f>
        <v>Good</v>
      </c>
      <c r="Q230" t="str">
        <f t="shared" si="15"/>
        <v>OK</v>
      </c>
      <c r="R230" t="str">
        <f t="shared" si="16"/>
        <v>BAD</v>
      </c>
      <c r="S230">
        <f t="shared" si="17"/>
        <v>0</v>
      </c>
      <c r="T230">
        <f t="shared" si="18"/>
        <v>1</v>
      </c>
      <c r="U230" t="str">
        <f t="shared" si="19"/>
        <v>REVIEW_RETURN</v>
      </c>
    </row>
    <row r="231" spans="1:21">
      <c r="A231" t="s">
        <v>243</v>
      </c>
      <c r="B231" t="s">
        <v>4493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 t="str">
        <f>IF((Sheet1[[#This Row],[Quantity]]*Sheet1[[#This Row],[UnitPrice]])=(Sheet1[[#This Row],[TotalPrice]]), "True", "False")</f>
        <v>True</v>
      </c>
      <c r="P231" t="str">
        <f>IF((Sheet1[[#This Row],[ItemsInCart]]&gt;=Sheet1[[#This Row],[Quantity]]), "Good", "Bad")</f>
        <v>Good</v>
      </c>
      <c r="Q231" t="str">
        <f t="shared" si="15"/>
        <v>OK</v>
      </c>
      <c r="R231" t="str">
        <f t="shared" si="16"/>
        <v>GOOD</v>
      </c>
      <c r="S231">
        <f t="shared" si="17"/>
        <v>0</v>
      </c>
      <c r="T231">
        <f t="shared" si="18"/>
        <v>0</v>
      </c>
      <c r="U231" t="str">
        <f t="shared" si="19"/>
        <v>OK</v>
      </c>
    </row>
    <row r="232" spans="1:21">
      <c r="A232" t="s">
        <v>244</v>
      </c>
      <c r="B232" t="s">
        <v>4494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 t="str">
        <f>IF((Sheet1[[#This Row],[Quantity]]*Sheet1[[#This Row],[UnitPrice]])=(Sheet1[[#This Row],[TotalPrice]]), "True", "False")</f>
        <v>True</v>
      </c>
      <c r="P232" t="str">
        <f>IF((Sheet1[[#This Row],[ItemsInCart]]&gt;=Sheet1[[#This Row],[Quantity]]), "Good", "Bad")</f>
        <v>Good</v>
      </c>
      <c r="Q232" t="str">
        <f t="shared" si="15"/>
        <v>OK</v>
      </c>
      <c r="R232" t="str">
        <f t="shared" si="16"/>
        <v>GOOD</v>
      </c>
      <c r="S232">
        <f t="shared" si="17"/>
        <v>0</v>
      </c>
      <c r="T232">
        <f t="shared" si="18"/>
        <v>0</v>
      </c>
      <c r="U232" t="str">
        <f t="shared" si="19"/>
        <v>OK</v>
      </c>
    </row>
    <row r="233" spans="1:21">
      <c r="A233" t="s">
        <v>245</v>
      </c>
      <c r="B233" t="s">
        <v>4495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 t="str">
        <f>IF((Sheet1[[#This Row],[Quantity]]*Sheet1[[#This Row],[UnitPrice]])=(Sheet1[[#This Row],[TotalPrice]]), "True", "False")</f>
        <v>True</v>
      </c>
      <c r="P233" t="str">
        <f>IF((Sheet1[[#This Row],[ItemsInCart]]&gt;=Sheet1[[#This Row],[Quantity]]), "Good", "Bad")</f>
        <v>Good</v>
      </c>
      <c r="Q233" t="str">
        <f t="shared" si="15"/>
        <v>OK</v>
      </c>
      <c r="R233" t="str">
        <f t="shared" si="16"/>
        <v>BAD</v>
      </c>
      <c r="S233">
        <f t="shared" si="17"/>
        <v>0</v>
      </c>
      <c r="T233">
        <f t="shared" si="18"/>
        <v>1</v>
      </c>
      <c r="U233" t="str">
        <f t="shared" si="19"/>
        <v>DOCUMENTED</v>
      </c>
    </row>
    <row r="234" spans="1:21">
      <c r="A234" t="s">
        <v>246</v>
      </c>
      <c r="B234" t="s">
        <v>4496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 t="str">
        <f>IF((Sheet1[[#This Row],[Quantity]]*Sheet1[[#This Row],[UnitPrice]])=(Sheet1[[#This Row],[TotalPrice]]), "True", "False")</f>
        <v>True</v>
      </c>
      <c r="P234" t="str">
        <f>IF((Sheet1[[#This Row],[ItemsInCart]]&gt;=Sheet1[[#This Row],[Quantity]]), "Good", "Bad")</f>
        <v>Good</v>
      </c>
      <c r="Q234" t="str">
        <f t="shared" si="15"/>
        <v>OK</v>
      </c>
      <c r="R234" t="str">
        <f t="shared" si="16"/>
        <v>BAD</v>
      </c>
      <c r="S234">
        <f t="shared" si="17"/>
        <v>0</v>
      </c>
      <c r="T234">
        <f t="shared" si="18"/>
        <v>1</v>
      </c>
      <c r="U234" t="str">
        <f t="shared" si="19"/>
        <v>REVIEW_RETURN</v>
      </c>
    </row>
    <row r="235" spans="1:21">
      <c r="A235" t="s">
        <v>247</v>
      </c>
      <c r="B235" t="s">
        <v>4497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 t="str">
        <f>IF((Sheet1[[#This Row],[Quantity]]*Sheet1[[#This Row],[UnitPrice]])=(Sheet1[[#This Row],[TotalPrice]]), "True", "False")</f>
        <v>True</v>
      </c>
      <c r="P235" t="str">
        <f>IF((Sheet1[[#This Row],[ItemsInCart]]&gt;=Sheet1[[#This Row],[Quantity]]), "Good", "Bad")</f>
        <v>Good</v>
      </c>
      <c r="Q235" t="str">
        <f t="shared" si="15"/>
        <v>OK</v>
      </c>
      <c r="R235" t="str">
        <f t="shared" si="16"/>
        <v>BAD</v>
      </c>
      <c r="S235">
        <f t="shared" si="17"/>
        <v>0</v>
      </c>
      <c r="T235">
        <f t="shared" si="18"/>
        <v>1</v>
      </c>
      <c r="U235" t="str">
        <f t="shared" si="19"/>
        <v>REVIEW_RETURN</v>
      </c>
    </row>
    <row r="236" spans="1:21">
      <c r="A236" t="s">
        <v>248</v>
      </c>
      <c r="B236" t="s">
        <v>4413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 t="str">
        <f>IF((Sheet1[[#This Row],[Quantity]]*Sheet1[[#This Row],[UnitPrice]])=(Sheet1[[#This Row],[TotalPrice]]), "True", "False")</f>
        <v>True</v>
      </c>
      <c r="P236" t="str">
        <f>IF((Sheet1[[#This Row],[ItemsInCart]]&gt;=Sheet1[[#This Row],[Quantity]]), "Good", "Bad")</f>
        <v>Good</v>
      </c>
      <c r="Q236" t="str">
        <f t="shared" si="15"/>
        <v>OK</v>
      </c>
      <c r="R236" t="str">
        <f t="shared" si="16"/>
        <v>BAD</v>
      </c>
      <c r="S236">
        <f t="shared" si="17"/>
        <v>0</v>
      </c>
      <c r="T236">
        <f t="shared" si="18"/>
        <v>1</v>
      </c>
      <c r="U236" t="str">
        <f t="shared" si="19"/>
        <v>DOCUMENTED</v>
      </c>
    </row>
    <row r="237" spans="1:21">
      <c r="A237" t="s">
        <v>249</v>
      </c>
      <c r="B237" t="s">
        <v>4498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 t="str">
        <f>IF((Sheet1[[#This Row],[Quantity]]*Sheet1[[#This Row],[UnitPrice]])=(Sheet1[[#This Row],[TotalPrice]]), "True", "False")</f>
        <v>True</v>
      </c>
      <c r="P237" t="str">
        <f>IF((Sheet1[[#This Row],[ItemsInCart]]&gt;=Sheet1[[#This Row],[Quantity]]), "Good", "Bad")</f>
        <v>Good</v>
      </c>
      <c r="Q237" t="str">
        <f t="shared" si="15"/>
        <v>OK</v>
      </c>
      <c r="R237" t="str">
        <f t="shared" si="16"/>
        <v>BAD</v>
      </c>
      <c r="S237">
        <f t="shared" si="17"/>
        <v>0</v>
      </c>
      <c r="T237">
        <f t="shared" si="18"/>
        <v>1</v>
      </c>
      <c r="U237" t="str">
        <f t="shared" si="19"/>
        <v>DOCUMENTED</v>
      </c>
    </row>
    <row r="238" spans="1:21">
      <c r="A238" t="s">
        <v>250</v>
      </c>
      <c r="B238" t="s">
        <v>4390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 t="str">
        <f>IF((Sheet1[[#This Row],[Quantity]]*Sheet1[[#This Row],[UnitPrice]])=(Sheet1[[#This Row],[TotalPrice]]), "True", "False")</f>
        <v>True</v>
      </c>
      <c r="P238" t="str">
        <f>IF((Sheet1[[#This Row],[ItemsInCart]]&gt;=Sheet1[[#This Row],[Quantity]]), "Good", "Bad")</f>
        <v>Good</v>
      </c>
      <c r="Q238" t="str">
        <f t="shared" si="15"/>
        <v>OK</v>
      </c>
      <c r="R238" t="str">
        <f t="shared" si="16"/>
        <v>BAD</v>
      </c>
      <c r="S238">
        <f t="shared" si="17"/>
        <v>0</v>
      </c>
      <c r="T238">
        <f t="shared" si="18"/>
        <v>1</v>
      </c>
      <c r="U238" t="str">
        <f t="shared" si="19"/>
        <v>DOCUMENTED</v>
      </c>
    </row>
    <row r="239" spans="1:21">
      <c r="A239" t="s">
        <v>251</v>
      </c>
      <c r="B239" t="s">
        <v>4499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 t="str">
        <f>IF((Sheet1[[#This Row],[Quantity]]*Sheet1[[#This Row],[UnitPrice]])=(Sheet1[[#This Row],[TotalPrice]]), "True", "False")</f>
        <v>True</v>
      </c>
      <c r="P239" t="str">
        <f>IF((Sheet1[[#This Row],[ItemsInCart]]&gt;=Sheet1[[#This Row],[Quantity]]), "Good", "Bad")</f>
        <v>Good</v>
      </c>
      <c r="Q239" t="str">
        <f t="shared" si="15"/>
        <v>OK</v>
      </c>
      <c r="R239" t="str">
        <f t="shared" si="16"/>
        <v>GOOD</v>
      </c>
      <c r="S239">
        <f t="shared" si="17"/>
        <v>0</v>
      </c>
      <c r="T239">
        <f t="shared" si="18"/>
        <v>0</v>
      </c>
      <c r="U239" t="str">
        <f t="shared" si="19"/>
        <v>OK</v>
      </c>
    </row>
    <row r="240" spans="1:21">
      <c r="A240" t="s">
        <v>252</v>
      </c>
      <c r="B240" t="s">
        <v>4500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 t="str">
        <f>IF((Sheet1[[#This Row],[Quantity]]*Sheet1[[#This Row],[UnitPrice]])=(Sheet1[[#This Row],[TotalPrice]]), "True", "False")</f>
        <v>True</v>
      </c>
      <c r="P240" t="str">
        <f>IF((Sheet1[[#This Row],[ItemsInCart]]&gt;=Sheet1[[#This Row],[Quantity]]), "Good", "Bad")</f>
        <v>Good</v>
      </c>
      <c r="Q240" t="str">
        <f t="shared" si="15"/>
        <v>OK</v>
      </c>
      <c r="R240" t="str">
        <f t="shared" si="16"/>
        <v>BAD</v>
      </c>
      <c r="S240">
        <f t="shared" si="17"/>
        <v>0</v>
      </c>
      <c r="T240">
        <f t="shared" si="18"/>
        <v>1</v>
      </c>
      <c r="U240" t="str">
        <f t="shared" si="19"/>
        <v>DOCUMENTED</v>
      </c>
    </row>
    <row r="241" spans="1:21">
      <c r="A241" t="s">
        <v>253</v>
      </c>
      <c r="B241" t="s">
        <v>4501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 t="str">
        <f>IF((Sheet1[[#This Row],[Quantity]]*Sheet1[[#This Row],[UnitPrice]])=(Sheet1[[#This Row],[TotalPrice]]), "True", "False")</f>
        <v>True</v>
      </c>
      <c r="P241" t="str">
        <f>IF((Sheet1[[#This Row],[ItemsInCart]]&gt;=Sheet1[[#This Row],[Quantity]]), "Good", "Bad")</f>
        <v>Good</v>
      </c>
      <c r="Q241" t="str">
        <f t="shared" si="15"/>
        <v>OK</v>
      </c>
      <c r="R241" t="str">
        <f t="shared" si="16"/>
        <v>GOOD</v>
      </c>
      <c r="S241">
        <f t="shared" si="17"/>
        <v>0</v>
      </c>
      <c r="T241">
        <f t="shared" si="18"/>
        <v>0</v>
      </c>
      <c r="U241" t="str">
        <f t="shared" si="19"/>
        <v>OK</v>
      </c>
    </row>
    <row r="242" spans="1:21">
      <c r="A242" t="s">
        <v>254</v>
      </c>
      <c r="B242" t="s">
        <v>4502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 t="str">
        <f>IF((Sheet1[[#This Row],[Quantity]]*Sheet1[[#This Row],[UnitPrice]])=(Sheet1[[#This Row],[TotalPrice]]), "True", "False")</f>
        <v>True</v>
      </c>
      <c r="P242" t="str">
        <f>IF((Sheet1[[#This Row],[ItemsInCart]]&gt;=Sheet1[[#This Row],[Quantity]]), "Good", "Bad")</f>
        <v>Good</v>
      </c>
      <c r="Q242" t="str">
        <f t="shared" si="15"/>
        <v>OK</v>
      </c>
      <c r="R242" t="str">
        <f t="shared" si="16"/>
        <v>BAD</v>
      </c>
      <c r="S242">
        <f t="shared" si="17"/>
        <v>0</v>
      </c>
      <c r="T242">
        <f t="shared" si="18"/>
        <v>1</v>
      </c>
      <c r="U242" t="str">
        <f t="shared" si="19"/>
        <v>DOCUMENTED</v>
      </c>
    </row>
    <row r="243" spans="1:21">
      <c r="A243" t="s">
        <v>255</v>
      </c>
      <c r="B243" t="s">
        <v>4503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 t="str">
        <f>IF((Sheet1[[#This Row],[Quantity]]*Sheet1[[#This Row],[UnitPrice]])=(Sheet1[[#This Row],[TotalPrice]]), "True", "False")</f>
        <v>True</v>
      </c>
      <c r="P243" t="str">
        <f>IF((Sheet1[[#This Row],[ItemsInCart]]&gt;=Sheet1[[#This Row],[Quantity]]), "Good", "Bad")</f>
        <v>Good</v>
      </c>
      <c r="Q243" t="str">
        <f t="shared" si="15"/>
        <v>OK</v>
      </c>
      <c r="R243" t="str">
        <f t="shared" si="16"/>
        <v>BAD</v>
      </c>
      <c r="S243">
        <f t="shared" si="17"/>
        <v>0</v>
      </c>
      <c r="T243">
        <f t="shared" si="18"/>
        <v>1</v>
      </c>
      <c r="U243" t="str">
        <f t="shared" si="19"/>
        <v>DOCUMENTED</v>
      </c>
    </row>
    <row r="244" spans="1:21">
      <c r="A244" t="s">
        <v>256</v>
      </c>
      <c r="B244" t="s">
        <v>4504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 t="str">
        <f>IF((Sheet1[[#This Row],[Quantity]]*Sheet1[[#This Row],[UnitPrice]])=(Sheet1[[#This Row],[TotalPrice]]), "True", "False")</f>
        <v>True</v>
      </c>
      <c r="P244" t="str">
        <f>IF((Sheet1[[#This Row],[ItemsInCart]]&gt;=Sheet1[[#This Row],[Quantity]]), "Good", "Bad")</f>
        <v>Good</v>
      </c>
      <c r="Q244" t="str">
        <f t="shared" si="15"/>
        <v>OK</v>
      </c>
      <c r="R244" t="str">
        <f t="shared" si="16"/>
        <v>BAD</v>
      </c>
      <c r="S244">
        <f t="shared" si="17"/>
        <v>0</v>
      </c>
      <c r="T244">
        <f t="shared" si="18"/>
        <v>1</v>
      </c>
      <c r="U244" t="str">
        <f t="shared" si="19"/>
        <v>DOCUMENTED</v>
      </c>
    </row>
    <row r="245" spans="1:21">
      <c r="A245" t="s">
        <v>257</v>
      </c>
      <c r="B245" t="s">
        <v>4505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 t="str">
        <f>IF((Sheet1[[#This Row],[Quantity]]*Sheet1[[#This Row],[UnitPrice]])=(Sheet1[[#This Row],[TotalPrice]]), "True", "False")</f>
        <v>True</v>
      </c>
      <c r="P245" t="str">
        <f>IF((Sheet1[[#This Row],[ItemsInCart]]&gt;=Sheet1[[#This Row],[Quantity]]), "Good", "Bad")</f>
        <v>Good</v>
      </c>
      <c r="Q245" t="str">
        <f t="shared" si="15"/>
        <v>OK</v>
      </c>
      <c r="R245" t="str">
        <f t="shared" si="16"/>
        <v>BAD</v>
      </c>
      <c r="S245">
        <f t="shared" si="17"/>
        <v>0</v>
      </c>
      <c r="T245">
        <f t="shared" si="18"/>
        <v>1</v>
      </c>
      <c r="U245" t="str">
        <f t="shared" si="19"/>
        <v>REVIEW_RETURN</v>
      </c>
    </row>
    <row r="246" spans="1:21">
      <c r="A246" t="s">
        <v>258</v>
      </c>
      <c r="B246" t="s">
        <v>4506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 t="str">
        <f>IF((Sheet1[[#This Row],[Quantity]]*Sheet1[[#This Row],[UnitPrice]])=(Sheet1[[#This Row],[TotalPrice]]), "True", "False")</f>
        <v>True</v>
      </c>
      <c r="P246" t="str">
        <f>IF((Sheet1[[#This Row],[ItemsInCart]]&gt;=Sheet1[[#This Row],[Quantity]]), "Good", "Bad")</f>
        <v>Good</v>
      </c>
      <c r="Q246" t="str">
        <f t="shared" si="15"/>
        <v>OK</v>
      </c>
      <c r="R246" t="str">
        <f t="shared" si="16"/>
        <v>BAD</v>
      </c>
      <c r="S246">
        <f t="shared" si="17"/>
        <v>0</v>
      </c>
      <c r="T246">
        <f t="shared" si="18"/>
        <v>1</v>
      </c>
      <c r="U246" t="str">
        <f t="shared" si="19"/>
        <v>REVIEW_RETURN</v>
      </c>
    </row>
    <row r="247" spans="1:21">
      <c r="A247" t="s">
        <v>259</v>
      </c>
      <c r="B247" t="s">
        <v>4507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4961</v>
      </c>
      <c r="M247" t="s">
        <v>4281</v>
      </c>
      <c r="N247">
        <v>223.3</v>
      </c>
      <c r="O247" t="str">
        <f>IF((Sheet1[[#This Row],[Quantity]]*Sheet1[[#This Row],[UnitPrice]])=(Sheet1[[#This Row],[TotalPrice]]), "True", "False")</f>
        <v>True</v>
      </c>
      <c r="P247" t="str">
        <f>IF((Sheet1[[#This Row],[ItemsInCart]]&gt;=Sheet1[[#This Row],[Quantity]]), "Good", "Bad")</f>
        <v>Good</v>
      </c>
      <c r="Q247" t="str">
        <f t="shared" si="15"/>
        <v>OK</v>
      </c>
      <c r="R247" t="str">
        <f t="shared" si="16"/>
        <v>GOOD</v>
      </c>
      <c r="S247">
        <f t="shared" si="17"/>
        <v>0</v>
      </c>
      <c r="T247">
        <f t="shared" si="18"/>
        <v>0</v>
      </c>
      <c r="U247" t="str">
        <f t="shared" si="19"/>
        <v>OK</v>
      </c>
    </row>
    <row r="248" spans="1:21">
      <c r="A248" t="s">
        <v>260</v>
      </c>
      <c r="B248" t="s">
        <v>4508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 t="str">
        <f>IF((Sheet1[[#This Row],[Quantity]]*Sheet1[[#This Row],[UnitPrice]])=(Sheet1[[#This Row],[TotalPrice]]), "True", "False")</f>
        <v>True</v>
      </c>
      <c r="P248" t="str">
        <f>IF((Sheet1[[#This Row],[ItemsInCart]]&gt;=Sheet1[[#This Row],[Quantity]]), "Good", "Bad")</f>
        <v>Good</v>
      </c>
      <c r="Q248" t="str">
        <f t="shared" si="15"/>
        <v>OK</v>
      </c>
      <c r="R248" t="str">
        <f t="shared" si="16"/>
        <v>GOOD</v>
      </c>
      <c r="S248">
        <f t="shared" si="17"/>
        <v>0</v>
      </c>
      <c r="T248">
        <f t="shared" si="18"/>
        <v>0</v>
      </c>
      <c r="U248" t="str">
        <f t="shared" si="19"/>
        <v>OK</v>
      </c>
    </row>
    <row r="249" spans="1:21">
      <c r="A249" t="s">
        <v>261</v>
      </c>
      <c r="B249" t="s">
        <v>4428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4961</v>
      </c>
      <c r="M249" t="s">
        <v>4280</v>
      </c>
      <c r="N249">
        <v>441.8</v>
      </c>
      <c r="O249" t="str">
        <f>IF((Sheet1[[#This Row],[Quantity]]*Sheet1[[#This Row],[UnitPrice]])=(Sheet1[[#This Row],[TotalPrice]]), "True", "False")</f>
        <v>True</v>
      </c>
      <c r="P249" t="str">
        <f>IF((Sheet1[[#This Row],[ItemsInCart]]&gt;=Sheet1[[#This Row],[Quantity]]), "Good", "Bad")</f>
        <v>Good</v>
      </c>
      <c r="Q249" t="str">
        <f t="shared" si="15"/>
        <v>OK</v>
      </c>
      <c r="R249" t="str">
        <f t="shared" si="16"/>
        <v>GOOD</v>
      </c>
      <c r="S249">
        <f t="shared" si="17"/>
        <v>0</v>
      </c>
      <c r="T249">
        <f t="shared" si="18"/>
        <v>0</v>
      </c>
      <c r="U249" t="str">
        <f t="shared" si="19"/>
        <v>OK</v>
      </c>
    </row>
    <row r="250" spans="1:21">
      <c r="A250" t="s">
        <v>262</v>
      </c>
      <c r="B250" t="s">
        <v>4509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 t="str">
        <f>IF((Sheet1[[#This Row],[Quantity]]*Sheet1[[#This Row],[UnitPrice]])=(Sheet1[[#This Row],[TotalPrice]]), "True", "False")</f>
        <v>True</v>
      </c>
      <c r="P250" t="str">
        <f>IF((Sheet1[[#This Row],[ItemsInCart]]&gt;=Sheet1[[#This Row],[Quantity]]), "Good", "Bad")</f>
        <v>Good</v>
      </c>
      <c r="Q250" t="str">
        <f t="shared" si="15"/>
        <v>OK</v>
      </c>
      <c r="R250" t="str">
        <f t="shared" si="16"/>
        <v>GOOD</v>
      </c>
      <c r="S250">
        <f t="shared" si="17"/>
        <v>0</v>
      </c>
      <c r="T250">
        <f t="shared" si="18"/>
        <v>0</v>
      </c>
      <c r="U250" t="str">
        <f t="shared" si="19"/>
        <v>OK</v>
      </c>
    </row>
    <row r="251" spans="1:21">
      <c r="A251" t="s">
        <v>263</v>
      </c>
      <c r="B251" t="s">
        <v>4510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 t="str">
        <f>IF((Sheet1[[#This Row],[Quantity]]*Sheet1[[#This Row],[UnitPrice]])=(Sheet1[[#This Row],[TotalPrice]]), "True", "False")</f>
        <v>True</v>
      </c>
      <c r="P251" t="str">
        <f>IF((Sheet1[[#This Row],[ItemsInCart]]&gt;=Sheet1[[#This Row],[Quantity]]), "Good", "Bad")</f>
        <v>Good</v>
      </c>
      <c r="Q251" t="str">
        <f t="shared" si="15"/>
        <v>OK</v>
      </c>
      <c r="R251" t="str">
        <f t="shared" si="16"/>
        <v>BAD</v>
      </c>
      <c r="S251">
        <f t="shared" si="17"/>
        <v>0</v>
      </c>
      <c r="T251">
        <f t="shared" si="18"/>
        <v>1</v>
      </c>
      <c r="U251" t="str">
        <f t="shared" si="19"/>
        <v>DOCUMENTED</v>
      </c>
    </row>
    <row r="252" spans="1:21">
      <c r="A252" t="s">
        <v>264</v>
      </c>
      <c r="B252" t="s">
        <v>4511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 t="str">
        <f>IF((Sheet1[[#This Row],[Quantity]]*Sheet1[[#This Row],[UnitPrice]])=(Sheet1[[#This Row],[TotalPrice]]), "True", "False")</f>
        <v>True</v>
      </c>
      <c r="P252" t="str">
        <f>IF((Sheet1[[#This Row],[ItemsInCart]]&gt;=Sheet1[[#This Row],[Quantity]]), "Good", "Bad")</f>
        <v>Good</v>
      </c>
      <c r="Q252" t="str">
        <f t="shared" si="15"/>
        <v>OK</v>
      </c>
      <c r="R252" t="str">
        <f t="shared" si="16"/>
        <v>GOOD</v>
      </c>
      <c r="S252">
        <f t="shared" si="17"/>
        <v>0</v>
      </c>
      <c r="T252">
        <f t="shared" si="18"/>
        <v>0</v>
      </c>
      <c r="U252" t="str">
        <f t="shared" si="19"/>
        <v>OK</v>
      </c>
    </row>
    <row r="253" spans="1:21">
      <c r="A253" t="s">
        <v>265</v>
      </c>
      <c r="B253" t="s">
        <v>4512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4961</v>
      </c>
      <c r="M253" t="s">
        <v>4280</v>
      </c>
      <c r="N253">
        <v>58.76</v>
      </c>
      <c r="O253" t="str">
        <f>IF((Sheet1[[#This Row],[Quantity]]*Sheet1[[#This Row],[UnitPrice]])=(Sheet1[[#This Row],[TotalPrice]]), "True", "False")</f>
        <v>True</v>
      </c>
      <c r="P253" t="str">
        <f>IF((Sheet1[[#This Row],[ItemsInCart]]&gt;=Sheet1[[#This Row],[Quantity]]), "Good", "Bad")</f>
        <v>Good</v>
      </c>
      <c r="Q253" t="str">
        <f t="shared" si="15"/>
        <v>OK</v>
      </c>
      <c r="R253" t="str">
        <f t="shared" si="16"/>
        <v>BAD</v>
      </c>
      <c r="S253">
        <f t="shared" si="17"/>
        <v>0</v>
      </c>
      <c r="T253">
        <f t="shared" si="18"/>
        <v>1</v>
      </c>
      <c r="U253" t="str">
        <f t="shared" si="19"/>
        <v>REVIEW_RETURN</v>
      </c>
    </row>
    <row r="254" spans="1:21">
      <c r="A254" t="s">
        <v>266</v>
      </c>
      <c r="B254" t="s">
        <v>4311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 t="str">
        <f>IF((Sheet1[[#This Row],[Quantity]]*Sheet1[[#This Row],[UnitPrice]])=(Sheet1[[#This Row],[TotalPrice]]), "True", "False")</f>
        <v>True</v>
      </c>
      <c r="P254" t="str">
        <f>IF((Sheet1[[#This Row],[ItemsInCart]]&gt;=Sheet1[[#This Row],[Quantity]]), "Good", "Bad")</f>
        <v>Good</v>
      </c>
      <c r="Q254" t="str">
        <f t="shared" si="15"/>
        <v>OK</v>
      </c>
      <c r="R254" t="str">
        <f t="shared" si="16"/>
        <v>BAD</v>
      </c>
      <c r="S254">
        <f t="shared" si="17"/>
        <v>0</v>
      </c>
      <c r="T254">
        <f t="shared" si="18"/>
        <v>1</v>
      </c>
      <c r="U254" t="str">
        <f t="shared" si="19"/>
        <v>REVIEW_RETURN</v>
      </c>
    </row>
    <row r="255" spans="1:21">
      <c r="A255" t="s">
        <v>267</v>
      </c>
      <c r="B255" t="s">
        <v>4513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 t="str">
        <f>IF((Sheet1[[#This Row],[Quantity]]*Sheet1[[#This Row],[UnitPrice]])=(Sheet1[[#This Row],[TotalPrice]]), "True", "False")</f>
        <v>True</v>
      </c>
      <c r="P255" t="str">
        <f>IF((Sheet1[[#This Row],[ItemsInCart]]&gt;=Sheet1[[#This Row],[Quantity]]), "Good", "Bad")</f>
        <v>Good</v>
      </c>
      <c r="Q255" t="str">
        <f t="shared" si="15"/>
        <v>OK</v>
      </c>
      <c r="R255" t="str">
        <f t="shared" si="16"/>
        <v>GOOD</v>
      </c>
      <c r="S255">
        <f t="shared" si="17"/>
        <v>0</v>
      </c>
      <c r="T255">
        <f t="shared" si="18"/>
        <v>0</v>
      </c>
      <c r="U255" t="str">
        <f t="shared" si="19"/>
        <v>OK</v>
      </c>
    </row>
    <row r="256" spans="1:21">
      <c r="A256" t="s">
        <v>268</v>
      </c>
      <c r="B256" t="s">
        <v>4514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4961</v>
      </c>
      <c r="M256" t="s">
        <v>4278</v>
      </c>
      <c r="N256">
        <v>789.56999999999994</v>
      </c>
      <c r="O256" t="str">
        <f>IF((Sheet1[[#This Row],[Quantity]]*Sheet1[[#This Row],[UnitPrice]])=(Sheet1[[#This Row],[TotalPrice]]), "True", "False")</f>
        <v>True</v>
      </c>
      <c r="P256" t="str">
        <f>IF((Sheet1[[#This Row],[ItemsInCart]]&gt;=Sheet1[[#This Row],[Quantity]]), "Good", "Bad")</f>
        <v>Good</v>
      </c>
      <c r="Q256" t="str">
        <f t="shared" si="15"/>
        <v>OK</v>
      </c>
      <c r="R256" t="str">
        <f t="shared" si="16"/>
        <v>GOOD</v>
      </c>
      <c r="S256">
        <f t="shared" si="17"/>
        <v>0</v>
      </c>
      <c r="T256">
        <f t="shared" si="18"/>
        <v>0</v>
      </c>
      <c r="U256" t="str">
        <f t="shared" si="19"/>
        <v>OK</v>
      </c>
    </row>
    <row r="257" spans="1:21">
      <c r="A257" t="s">
        <v>269</v>
      </c>
      <c r="B257" t="s">
        <v>4515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 t="str">
        <f>IF((Sheet1[[#This Row],[Quantity]]*Sheet1[[#This Row],[UnitPrice]])=(Sheet1[[#This Row],[TotalPrice]]), "True", "False")</f>
        <v>True</v>
      </c>
      <c r="P257" t="str">
        <f>IF((Sheet1[[#This Row],[ItemsInCart]]&gt;=Sheet1[[#This Row],[Quantity]]), "Good", "Bad")</f>
        <v>Good</v>
      </c>
      <c r="Q257" t="str">
        <f t="shared" si="15"/>
        <v>OK</v>
      </c>
      <c r="R257" t="str">
        <f t="shared" si="16"/>
        <v>GOOD</v>
      </c>
      <c r="S257">
        <f t="shared" si="17"/>
        <v>0</v>
      </c>
      <c r="T257">
        <f t="shared" si="18"/>
        <v>0</v>
      </c>
      <c r="U257" t="str">
        <f t="shared" si="19"/>
        <v>OK</v>
      </c>
    </row>
    <row r="258" spans="1:21">
      <c r="A258" t="s">
        <v>270</v>
      </c>
      <c r="B258" t="s">
        <v>4516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 t="str">
        <f>IF((Sheet1[[#This Row],[Quantity]]*Sheet1[[#This Row],[UnitPrice]])=(Sheet1[[#This Row],[TotalPrice]]), "True", "False")</f>
        <v>True</v>
      </c>
      <c r="P258" t="str">
        <f>IF((Sheet1[[#This Row],[ItemsInCart]]&gt;=Sheet1[[#This Row],[Quantity]]), "Good", "Bad")</f>
        <v>Good</v>
      </c>
      <c r="Q258" t="str">
        <f t="shared" ref="Q258:Q321" si="20">IF(AND(E258&gt;0, F258&gt;0,N258&gt;0),"OK","INVALID")</f>
        <v>OK</v>
      </c>
      <c r="R258" t="str">
        <f t="shared" ref="R258:R321" si="21">IF(OR(AND(OR(I258="Shipped",I258="Delivered",I258="Returned"),J258=""),AND(OR(I258="Processing",I258="Pending",I258="Cancelled"),J258&lt;&gt;"")),"BAD","GOOD")</f>
        <v>GOOD</v>
      </c>
      <c r="S258">
        <f t="shared" ref="S258:S321" si="22">IF(AND(OR(I258="Shipped",I258="Delivered",I258="Returned"),J258=""),1,0)</f>
        <v>0</v>
      </c>
      <c r="T258">
        <f t="shared" ref="T258:T321" si="23">IF(AND(OR(I258="Processing",I258="Pending",I258="Cancelled"),J258&lt;&gt;""),1,0)</f>
        <v>0</v>
      </c>
      <c r="U258" t="str">
        <f t="shared" ref="U258:U321" si="24">IF(AND(OR(I258="Shipped",I258="Delivered"),J258=""),"MISSING_TRACKING", IF(AND(OR(I258="Processing",I258="Pending"),J258&lt;&gt;""),"DOCUMENTED", IF(AND(I258="Cancelled",J258&lt;&gt;""), "REVIEW_RETURN", "OK")))</f>
        <v>OK</v>
      </c>
    </row>
    <row r="259" spans="1:21">
      <c r="A259" t="s">
        <v>271</v>
      </c>
      <c r="B259" t="s">
        <v>4517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 t="str">
        <f>IF((Sheet1[[#This Row],[Quantity]]*Sheet1[[#This Row],[UnitPrice]])=(Sheet1[[#This Row],[TotalPrice]]), "True", "False")</f>
        <v>True</v>
      </c>
      <c r="P259" t="str">
        <f>IF((Sheet1[[#This Row],[ItemsInCart]]&gt;=Sheet1[[#This Row],[Quantity]]), "Good", "Bad")</f>
        <v>Good</v>
      </c>
      <c r="Q259" t="str">
        <f t="shared" si="20"/>
        <v>OK</v>
      </c>
      <c r="R259" t="str">
        <f t="shared" si="21"/>
        <v>BAD</v>
      </c>
      <c r="S259">
        <f t="shared" si="22"/>
        <v>0</v>
      </c>
      <c r="T259">
        <f t="shared" si="23"/>
        <v>1</v>
      </c>
      <c r="U259" t="str">
        <f t="shared" si="24"/>
        <v>REVIEW_RETURN</v>
      </c>
    </row>
    <row r="260" spans="1:21">
      <c r="A260" t="s">
        <v>272</v>
      </c>
      <c r="B260" t="s">
        <v>4518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 t="str">
        <f>IF((Sheet1[[#This Row],[Quantity]]*Sheet1[[#This Row],[UnitPrice]])=(Sheet1[[#This Row],[TotalPrice]]), "True", "False")</f>
        <v>True</v>
      </c>
      <c r="P260" t="str">
        <f>IF((Sheet1[[#This Row],[ItemsInCart]]&gt;=Sheet1[[#This Row],[Quantity]]), "Good", "Bad")</f>
        <v>Good</v>
      </c>
      <c r="Q260" t="str">
        <f t="shared" si="20"/>
        <v>OK</v>
      </c>
      <c r="R260" t="str">
        <f t="shared" si="21"/>
        <v>GOOD</v>
      </c>
      <c r="S260">
        <f t="shared" si="22"/>
        <v>0</v>
      </c>
      <c r="T260">
        <f t="shared" si="23"/>
        <v>0</v>
      </c>
      <c r="U260" t="str">
        <f t="shared" si="24"/>
        <v>OK</v>
      </c>
    </row>
    <row r="261" spans="1:21">
      <c r="A261" t="s">
        <v>273</v>
      </c>
      <c r="B261" t="s">
        <v>4519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 t="str">
        <f>IF((Sheet1[[#This Row],[Quantity]]*Sheet1[[#This Row],[UnitPrice]])=(Sheet1[[#This Row],[TotalPrice]]), "True", "False")</f>
        <v>True</v>
      </c>
      <c r="P261" t="str">
        <f>IF((Sheet1[[#This Row],[ItemsInCart]]&gt;=Sheet1[[#This Row],[Quantity]]), "Good", "Bad")</f>
        <v>Good</v>
      </c>
      <c r="Q261" t="str">
        <f t="shared" si="20"/>
        <v>OK</v>
      </c>
      <c r="R261" t="str">
        <f t="shared" si="21"/>
        <v>GOOD</v>
      </c>
      <c r="S261">
        <f t="shared" si="22"/>
        <v>0</v>
      </c>
      <c r="T261">
        <f t="shared" si="23"/>
        <v>0</v>
      </c>
      <c r="U261" t="str">
        <f t="shared" si="24"/>
        <v>OK</v>
      </c>
    </row>
    <row r="262" spans="1:21">
      <c r="A262" t="s">
        <v>274</v>
      </c>
      <c r="B262" t="s">
        <v>4492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4961</v>
      </c>
      <c r="M262" t="s">
        <v>4282</v>
      </c>
      <c r="N262">
        <v>815.58</v>
      </c>
      <c r="O262" t="str">
        <f>IF((Sheet1[[#This Row],[Quantity]]*Sheet1[[#This Row],[UnitPrice]])=(Sheet1[[#This Row],[TotalPrice]]), "True", "False")</f>
        <v>True</v>
      </c>
      <c r="P262" t="str">
        <f>IF((Sheet1[[#This Row],[ItemsInCart]]&gt;=Sheet1[[#This Row],[Quantity]]), "Good", "Bad")</f>
        <v>Good</v>
      </c>
      <c r="Q262" t="str">
        <f t="shared" si="20"/>
        <v>OK</v>
      </c>
      <c r="R262" t="str">
        <f t="shared" si="21"/>
        <v>GOOD</v>
      </c>
      <c r="S262">
        <f t="shared" si="22"/>
        <v>0</v>
      </c>
      <c r="T262">
        <f t="shared" si="23"/>
        <v>0</v>
      </c>
      <c r="U262" t="str">
        <f t="shared" si="24"/>
        <v>OK</v>
      </c>
    </row>
    <row r="263" spans="1:21">
      <c r="A263" t="s">
        <v>275</v>
      </c>
      <c r="B263" t="s">
        <v>4520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 t="str">
        <f>IF((Sheet1[[#This Row],[Quantity]]*Sheet1[[#This Row],[UnitPrice]])=(Sheet1[[#This Row],[TotalPrice]]), "True", "False")</f>
        <v>True</v>
      </c>
      <c r="P263" t="str">
        <f>IF((Sheet1[[#This Row],[ItemsInCart]]&gt;=Sheet1[[#This Row],[Quantity]]), "Good", "Bad")</f>
        <v>Good</v>
      </c>
      <c r="Q263" t="str">
        <f t="shared" si="20"/>
        <v>OK</v>
      </c>
      <c r="R263" t="str">
        <f t="shared" si="21"/>
        <v>GOOD</v>
      </c>
      <c r="S263">
        <f t="shared" si="22"/>
        <v>0</v>
      </c>
      <c r="T263">
        <f t="shared" si="23"/>
        <v>0</v>
      </c>
      <c r="U263" t="str">
        <f t="shared" si="24"/>
        <v>OK</v>
      </c>
    </row>
    <row r="264" spans="1:21">
      <c r="A264" t="s">
        <v>276</v>
      </c>
      <c r="B264" t="s">
        <v>4521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 t="str">
        <f>IF((Sheet1[[#This Row],[Quantity]]*Sheet1[[#This Row],[UnitPrice]])=(Sheet1[[#This Row],[TotalPrice]]), "True", "False")</f>
        <v>True</v>
      </c>
      <c r="P264" t="str">
        <f>IF((Sheet1[[#This Row],[ItemsInCart]]&gt;=Sheet1[[#This Row],[Quantity]]), "Good", "Bad")</f>
        <v>Good</v>
      </c>
      <c r="Q264" t="str">
        <f t="shared" si="20"/>
        <v>OK</v>
      </c>
      <c r="R264" t="str">
        <f t="shared" si="21"/>
        <v>GOOD</v>
      </c>
      <c r="S264">
        <f t="shared" si="22"/>
        <v>0</v>
      </c>
      <c r="T264">
        <f t="shared" si="23"/>
        <v>0</v>
      </c>
      <c r="U264" t="str">
        <f t="shared" si="24"/>
        <v>OK</v>
      </c>
    </row>
    <row r="265" spans="1:21">
      <c r="A265" t="s">
        <v>277</v>
      </c>
      <c r="B265" t="s">
        <v>4522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 t="str">
        <f>IF((Sheet1[[#This Row],[Quantity]]*Sheet1[[#This Row],[UnitPrice]])=(Sheet1[[#This Row],[TotalPrice]]), "True", "False")</f>
        <v>True</v>
      </c>
      <c r="P265" t="str">
        <f>IF((Sheet1[[#This Row],[ItemsInCart]]&gt;=Sheet1[[#This Row],[Quantity]]), "Good", "Bad")</f>
        <v>Good</v>
      </c>
      <c r="Q265" t="str">
        <f t="shared" si="20"/>
        <v>OK</v>
      </c>
      <c r="R265" t="str">
        <f t="shared" si="21"/>
        <v>BAD</v>
      </c>
      <c r="S265">
        <f t="shared" si="22"/>
        <v>0</v>
      </c>
      <c r="T265">
        <f t="shared" si="23"/>
        <v>1</v>
      </c>
      <c r="U265" t="str">
        <f t="shared" si="24"/>
        <v>DOCUMENTED</v>
      </c>
    </row>
    <row r="266" spans="1:21">
      <c r="A266" t="s">
        <v>278</v>
      </c>
      <c r="B266" t="s">
        <v>4523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 t="str">
        <f>IF((Sheet1[[#This Row],[Quantity]]*Sheet1[[#This Row],[UnitPrice]])=(Sheet1[[#This Row],[TotalPrice]]), "True", "False")</f>
        <v>True</v>
      </c>
      <c r="P266" t="str">
        <f>IF((Sheet1[[#This Row],[ItemsInCart]]&gt;=Sheet1[[#This Row],[Quantity]]), "Good", "Bad")</f>
        <v>Good</v>
      </c>
      <c r="Q266" t="str">
        <f t="shared" si="20"/>
        <v>OK</v>
      </c>
      <c r="R266" t="str">
        <f t="shared" si="21"/>
        <v>GOOD</v>
      </c>
      <c r="S266">
        <f t="shared" si="22"/>
        <v>0</v>
      </c>
      <c r="T266">
        <f t="shared" si="23"/>
        <v>0</v>
      </c>
      <c r="U266" t="str">
        <f t="shared" si="24"/>
        <v>OK</v>
      </c>
    </row>
    <row r="267" spans="1:21">
      <c r="A267" t="s">
        <v>279</v>
      </c>
      <c r="B267" t="s">
        <v>4524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 t="str">
        <f>IF((Sheet1[[#This Row],[Quantity]]*Sheet1[[#This Row],[UnitPrice]])=(Sheet1[[#This Row],[TotalPrice]]), "True", "False")</f>
        <v>True</v>
      </c>
      <c r="P267" t="str">
        <f>IF((Sheet1[[#This Row],[ItemsInCart]]&gt;=Sheet1[[#This Row],[Quantity]]), "Good", "Bad")</f>
        <v>Good</v>
      </c>
      <c r="Q267" t="str">
        <f t="shared" si="20"/>
        <v>OK</v>
      </c>
      <c r="R267" t="str">
        <f t="shared" si="21"/>
        <v>BAD</v>
      </c>
      <c r="S267">
        <f t="shared" si="22"/>
        <v>0</v>
      </c>
      <c r="T267">
        <f t="shared" si="23"/>
        <v>1</v>
      </c>
      <c r="U267" t="str">
        <f t="shared" si="24"/>
        <v>REVIEW_RETURN</v>
      </c>
    </row>
    <row r="268" spans="1:21">
      <c r="A268" t="s">
        <v>280</v>
      </c>
      <c r="B268" t="s">
        <v>4463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 t="str">
        <f>IF((Sheet1[[#This Row],[Quantity]]*Sheet1[[#This Row],[UnitPrice]])=(Sheet1[[#This Row],[TotalPrice]]), "True", "False")</f>
        <v>True</v>
      </c>
      <c r="P268" t="str">
        <f>IF((Sheet1[[#This Row],[ItemsInCart]]&gt;=Sheet1[[#This Row],[Quantity]]), "Good", "Bad")</f>
        <v>Good</v>
      </c>
      <c r="Q268" t="str">
        <f t="shared" si="20"/>
        <v>OK</v>
      </c>
      <c r="R268" t="str">
        <f t="shared" si="21"/>
        <v>BAD</v>
      </c>
      <c r="S268">
        <f t="shared" si="22"/>
        <v>0</v>
      </c>
      <c r="T268">
        <f t="shared" si="23"/>
        <v>1</v>
      </c>
      <c r="U268" t="str">
        <f t="shared" si="24"/>
        <v>REVIEW_RETURN</v>
      </c>
    </row>
    <row r="269" spans="1:21">
      <c r="A269" t="s">
        <v>281</v>
      </c>
      <c r="B269" t="s">
        <v>4525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4961</v>
      </c>
      <c r="M269" t="s">
        <v>4281</v>
      </c>
      <c r="N269">
        <v>2342.5500000000002</v>
      </c>
      <c r="O269" t="str">
        <f>IF((Sheet1[[#This Row],[Quantity]]*Sheet1[[#This Row],[UnitPrice]])=(Sheet1[[#This Row],[TotalPrice]]), "True", "False")</f>
        <v>True</v>
      </c>
      <c r="P269" t="str">
        <f>IF((Sheet1[[#This Row],[ItemsInCart]]&gt;=Sheet1[[#This Row],[Quantity]]), "Good", "Bad")</f>
        <v>Good</v>
      </c>
      <c r="Q269" t="str">
        <f t="shared" si="20"/>
        <v>OK</v>
      </c>
      <c r="R269" t="str">
        <f t="shared" si="21"/>
        <v>GOOD</v>
      </c>
      <c r="S269">
        <f t="shared" si="22"/>
        <v>0</v>
      </c>
      <c r="T269">
        <f t="shared" si="23"/>
        <v>0</v>
      </c>
      <c r="U269" t="str">
        <f t="shared" si="24"/>
        <v>OK</v>
      </c>
    </row>
    <row r="270" spans="1:21">
      <c r="A270" t="s">
        <v>282</v>
      </c>
      <c r="B270" t="s">
        <v>4461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 t="str">
        <f>IF((Sheet1[[#This Row],[Quantity]]*Sheet1[[#This Row],[UnitPrice]])=(Sheet1[[#This Row],[TotalPrice]]), "True", "False")</f>
        <v>True</v>
      </c>
      <c r="P270" t="str">
        <f>IF((Sheet1[[#This Row],[ItemsInCart]]&gt;=Sheet1[[#This Row],[Quantity]]), "Good", "Bad")</f>
        <v>Good</v>
      </c>
      <c r="Q270" t="str">
        <f t="shared" si="20"/>
        <v>OK</v>
      </c>
      <c r="R270" t="str">
        <f t="shared" si="21"/>
        <v>GOOD</v>
      </c>
      <c r="S270">
        <f t="shared" si="22"/>
        <v>0</v>
      </c>
      <c r="T270">
        <f t="shared" si="23"/>
        <v>0</v>
      </c>
      <c r="U270" t="str">
        <f t="shared" si="24"/>
        <v>OK</v>
      </c>
    </row>
    <row r="271" spans="1:21">
      <c r="A271" t="s">
        <v>283</v>
      </c>
      <c r="B271" t="s">
        <v>4380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 t="str">
        <f>IF((Sheet1[[#This Row],[Quantity]]*Sheet1[[#This Row],[UnitPrice]])=(Sheet1[[#This Row],[TotalPrice]]), "True", "False")</f>
        <v>True</v>
      </c>
      <c r="P271" t="str">
        <f>IF((Sheet1[[#This Row],[ItemsInCart]]&gt;=Sheet1[[#This Row],[Quantity]]), "Good", "Bad")</f>
        <v>Good</v>
      </c>
      <c r="Q271" t="str">
        <f t="shared" si="20"/>
        <v>OK</v>
      </c>
      <c r="R271" t="str">
        <f t="shared" si="21"/>
        <v>BAD</v>
      </c>
      <c r="S271">
        <f t="shared" si="22"/>
        <v>0</v>
      </c>
      <c r="T271">
        <f t="shared" si="23"/>
        <v>1</v>
      </c>
      <c r="U271" t="str">
        <f t="shared" si="24"/>
        <v>DOCUMENTED</v>
      </c>
    </row>
    <row r="272" spans="1:21">
      <c r="A272" t="s">
        <v>284</v>
      </c>
      <c r="B272" t="s">
        <v>4526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 t="str">
        <f>IF((Sheet1[[#This Row],[Quantity]]*Sheet1[[#This Row],[UnitPrice]])=(Sheet1[[#This Row],[TotalPrice]]), "True", "False")</f>
        <v>True</v>
      </c>
      <c r="P272" t="str">
        <f>IF((Sheet1[[#This Row],[ItemsInCart]]&gt;=Sheet1[[#This Row],[Quantity]]), "Good", "Bad")</f>
        <v>Good</v>
      </c>
      <c r="Q272" t="str">
        <f t="shared" si="20"/>
        <v>OK</v>
      </c>
      <c r="R272" t="str">
        <f t="shared" si="21"/>
        <v>GOOD</v>
      </c>
      <c r="S272">
        <f t="shared" si="22"/>
        <v>0</v>
      </c>
      <c r="T272">
        <f t="shared" si="23"/>
        <v>0</v>
      </c>
      <c r="U272" t="str">
        <f t="shared" si="24"/>
        <v>OK</v>
      </c>
    </row>
    <row r="273" spans="1:21">
      <c r="A273" t="s">
        <v>285</v>
      </c>
      <c r="B273" t="s">
        <v>4408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 t="str">
        <f>IF((Sheet1[[#This Row],[Quantity]]*Sheet1[[#This Row],[UnitPrice]])=(Sheet1[[#This Row],[TotalPrice]]), "True", "False")</f>
        <v>True</v>
      </c>
      <c r="P273" t="str">
        <f>IF((Sheet1[[#This Row],[ItemsInCart]]&gt;=Sheet1[[#This Row],[Quantity]]), "Good", "Bad")</f>
        <v>Good</v>
      </c>
      <c r="Q273" t="str">
        <f t="shared" si="20"/>
        <v>OK</v>
      </c>
      <c r="R273" t="str">
        <f t="shared" si="21"/>
        <v>GOOD</v>
      </c>
      <c r="S273">
        <f t="shared" si="22"/>
        <v>0</v>
      </c>
      <c r="T273">
        <f t="shared" si="23"/>
        <v>0</v>
      </c>
      <c r="U273" t="str">
        <f t="shared" si="24"/>
        <v>OK</v>
      </c>
    </row>
    <row r="274" spans="1:21">
      <c r="A274" t="s">
        <v>286</v>
      </c>
      <c r="B274" t="s">
        <v>4527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 t="str">
        <f>IF((Sheet1[[#This Row],[Quantity]]*Sheet1[[#This Row],[UnitPrice]])=(Sheet1[[#This Row],[TotalPrice]]), "True", "False")</f>
        <v>True</v>
      </c>
      <c r="P274" t="str">
        <f>IF((Sheet1[[#This Row],[ItemsInCart]]&gt;=Sheet1[[#This Row],[Quantity]]), "Good", "Bad")</f>
        <v>Good</v>
      </c>
      <c r="Q274" t="str">
        <f t="shared" si="20"/>
        <v>OK</v>
      </c>
      <c r="R274" t="str">
        <f t="shared" si="21"/>
        <v>BAD</v>
      </c>
      <c r="S274">
        <f t="shared" si="22"/>
        <v>0</v>
      </c>
      <c r="T274">
        <f t="shared" si="23"/>
        <v>1</v>
      </c>
      <c r="U274" t="str">
        <f t="shared" si="24"/>
        <v>DOCUMENTED</v>
      </c>
    </row>
    <row r="275" spans="1:21">
      <c r="A275" t="s">
        <v>287</v>
      </c>
      <c r="B275" t="s">
        <v>4528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 t="str">
        <f>IF((Sheet1[[#This Row],[Quantity]]*Sheet1[[#This Row],[UnitPrice]])=(Sheet1[[#This Row],[TotalPrice]]), "True", "False")</f>
        <v>True</v>
      </c>
      <c r="P275" t="str">
        <f>IF((Sheet1[[#This Row],[ItemsInCart]]&gt;=Sheet1[[#This Row],[Quantity]]), "Good", "Bad")</f>
        <v>Good</v>
      </c>
      <c r="Q275" t="str">
        <f t="shared" si="20"/>
        <v>OK</v>
      </c>
      <c r="R275" t="str">
        <f t="shared" si="21"/>
        <v>BAD</v>
      </c>
      <c r="S275">
        <f t="shared" si="22"/>
        <v>0</v>
      </c>
      <c r="T275">
        <f t="shared" si="23"/>
        <v>1</v>
      </c>
      <c r="U275" t="str">
        <f t="shared" si="24"/>
        <v>REVIEW_RETURN</v>
      </c>
    </row>
    <row r="276" spans="1:21">
      <c r="A276" t="s">
        <v>288</v>
      </c>
      <c r="B276" t="s">
        <v>4529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 t="str">
        <f>IF((Sheet1[[#This Row],[Quantity]]*Sheet1[[#This Row],[UnitPrice]])=(Sheet1[[#This Row],[TotalPrice]]), "True", "False")</f>
        <v>True</v>
      </c>
      <c r="P276" t="str">
        <f>IF((Sheet1[[#This Row],[ItemsInCart]]&gt;=Sheet1[[#This Row],[Quantity]]), "Good", "Bad")</f>
        <v>Good</v>
      </c>
      <c r="Q276" t="str">
        <f t="shared" si="20"/>
        <v>OK</v>
      </c>
      <c r="R276" t="str">
        <f t="shared" si="21"/>
        <v>BAD</v>
      </c>
      <c r="S276">
        <f t="shared" si="22"/>
        <v>0</v>
      </c>
      <c r="T276">
        <f t="shared" si="23"/>
        <v>1</v>
      </c>
      <c r="U276" t="str">
        <f t="shared" si="24"/>
        <v>REVIEW_RETURN</v>
      </c>
    </row>
    <row r="277" spans="1:21">
      <c r="A277" t="s">
        <v>289</v>
      </c>
      <c r="B277" t="s">
        <v>4530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 t="str">
        <f>IF((Sheet1[[#This Row],[Quantity]]*Sheet1[[#This Row],[UnitPrice]])=(Sheet1[[#This Row],[TotalPrice]]), "True", "False")</f>
        <v>True</v>
      </c>
      <c r="P277" t="str">
        <f>IF((Sheet1[[#This Row],[ItemsInCart]]&gt;=Sheet1[[#This Row],[Quantity]]), "Good", "Bad")</f>
        <v>Good</v>
      </c>
      <c r="Q277" t="str">
        <f t="shared" si="20"/>
        <v>OK</v>
      </c>
      <c r="R277" t="str">
        <f t="shared" si="21"/>
        <v>BAD</v>
      </c>
      <c r="S277">
        <f t="shared" si="22"/>
        <v>0</v>
      </c>
      <c r="T277">
        <f t="shared" si="23"/>
        <v>1</v>
      </c>
      <c r="U277" t="str">
        <f t="shared" si="24"/>
        <v>REVIEW_RETURN</v>
      </c>
    </row>
    <row r="278" spans="1:21">
      <c r="A278" t="s">
        <v>290</v>
      </c>
      <c r="B278" t="s">
        <v>4531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 t="str">
        <f>IF((Sheet1[[#This Row],[Quantity]]*Sheet1[[#This Row],[UnitPrice]])=(Sheet1[[#This Row],[TotalPrice]]), "True", "False")</f>
        <v>True</v>
      </c>
      <c r="P278" t="str">
        <f>IF((Sheet1[[#This Row],[ItemsInCart]]&gt;=Sheet1[[#This Row],[Quantity]]), "Good", "Bad")</f>
        <v>Good</v>
      </c>
      <c r="Q278" t="str">
        <f t="shared" si="20"/>
        <v>OK</v>
      </c>
      <c r="R278" t="str">
        <f t="shared" si="21"/>
        <v>GOOD</v>
      </c>
      <c r="S278">
        <f t="shared" si="22"/>
        <v>0</v>
      </c>
      <c r="T278">
        <f t="shared" si="23"/>
        <v>0</v>
      </c>
      <c r="U278" t="str">
        <f t="shared" si="24"/>
        <v>OK</v>
      </c>
    </row>
    <row r="279" spans="1:21">
      <c r="A279" t="s">
        <v>291</v>
      </c>
      <c r="B279" t="s">
        <v>4365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 t="str">
        <f>IF((Sheet1[[#This Row],[Quantity]]*Sheet1[[#This Row],[UnitPrice]])=(Sheet1[[#This Row],[TotalPrice]]), "True", "False")</f>
        <v>True</v>
      </c>
      <c r="P279" t="str">
        <f>IF((Sheet1[[#This Row],[ItemsInCart]]&gt;=Sheet1[[#This Row],[Quantity]]), "Good", "Bad")</f>
        <v>Good</v>
      </c>
      <c r="Q279" t="str">
        <f t="shared" si="20"/>
        <v>OK</v>
      </c>
      <c r="R279" t="str">
        <f t="shared" si="21"/>
        <v>GOOD</v>
      </c>
      <c r="S279">
        <f t="shared" si="22"/>
        <v>0</v>
      </c>
      <c r="T279">
        <f t="shared" si="23"/>
        <v>0</v>
      </c>
      <c r="U279" t="str">
        <f t="shared" si="24"/>
        <v>OK</v>
      </c>
    </row>
    <row r="280" spans="1:21">
      <c r="A280" t="s">
        <v>292</v>
      </c>
      <c r="B280" t="s">
        <v>4532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 t="str">
        <f>IF((Sheet1[[#This Row],[Quantity]]*Sheet1[[#This Row],[UnitPrice]])=(Sheet1[[#This Row],[TotalPrice]]), "True", "False")</f>
        <v>True</v>
      </c>
      <c r="P280" t="str">
        <f>IF((Sheet1[[#This Row],[ItemsInCart]]&gt;=Sheet1[[#This Row],[Quantity]]), "Good", "Bad")</f>
        <v>Good</v>
      </c>
      <c r="Q280" t="str">
        <f t="shared" si="20"/>
        <v>OK</v>
      </c>
      <c r="R280" t="str">
        <f t="shared" si="21"/>
        <v>GOOD</v>
      </c>
      <c r="S280">
        <f t="shared" si="22"/>
        <v>0</v>
      </c>
      <c r="T280">
        <f t="shared" si="23"/>
        <v>0</v>
      </c>
      <c r="U280" t="str">
        <f t="shared" si="24"/>
        <v>OK</v>
      </c>
    </row>
    <row r="281" spans="1:21">
      <c r="A281" t="s">
        <v>293</v>
      </c>
      <c r="B281" t="s">
        <v>4533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 t="str">
        <f>IF((Sheet1[[#This Row],[Quantity]]*Sheet1[[#This Row],[UnitPrice]])=(Sheet1[[#This Row],[TotalPrice]]), "True", "False")</f>
        <v>True</v>
      </c>
      <c r="P281" t="str">
        <f>IF((Sheet1[[#This Row],[ItemsInCart]]&gt;=Sheet1[[#This Row],[Quantity]]), "Good", "Bad")</f>
        <v>Good</v>
      </c>
      <c r="Q281" t="str">
        <f t="shared" si="20"/>
        <v>OK</v>
      </c>
      <c r="R281" t="str">
        <f t="shared" si="21"/>
        <v>BAD</v>
      </c>
      <c r="S281">
        <f t="shared" si="22"/>
        <v>0</v>
      </c>
      <c r="T281">
        <f t="shared" si="23"/>
        <v>1</v>
      </c>
      <c r="U281" t="str">
        <f t="shared" si="24"/>
        <v>DOCUMENTED</v>
      </c>
    </row>
    <row r="282" spans="1:21">
      <c r="A282" t="s">
        <v>294</v>
      </c>
      <c r="B282" t="s">
        <v>4297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 t="str">
        <f>IF((Sheet1[[#This Row],[Quantity]]*Sheet1[[#This Row],[UnitPrice]])=(Sheet1[[#This Row],[TotalPrice]]), "True", "False")</f>
        <v>True</v>
      </c>
      <c r="P282" t="str">
        <f>IF((Sheet1[[#This Row],[ItemsInCart]]&gt;=Sheet1[[#This Row],[Quantity]]), "Good", "Bad")</f>
        <v>Good</v>
      </c>
      <c r="Q282" t="str">
        <f t="shared" si="20"/>
        <v>OK</v>
      </c>
      <c r="R282" t="str">
        <f t="shared" si="21"/>
        <v>GOOD</v>
      </c>
      <c r="S282">
        <f t="shared" si="22"/>
        <v>0</v>
      </c>
      <c r="T282">
        <f t="shared" si="23"/>
        <v>0</v>
      </c>
      <c r="U282" t="str">
        <f t="shared" si="24"/>
        <v>OK</v>
      </c>
    </row>
    <row r="283" spans="1:21">
      <c r="A283" t="s">
        <v>295</v>
      </c>
      <c r="B283" t="s">
        <v>4435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4961</v>
      </c>
      <c r="M283" t="s">
        <v>4279</v>
      </c>
      <c r="N283">
        <v>2619.16</v>
      </c>
      <c r="O283" t="str">
        <f>IF((Sheet1[[#This Row],[Quantity]]*Sheet1[[#This Row],[UnitPrice]])=(Sheet1[[#This Row],[TotalPrice]]), "True", "False")</f>
        <v>True</v>
      </c>
      <c r="P283" t="str">
        <f>IF((Sheet1[[#This Row],[ItemsInCart]]&gt;=Sheet1[[#This Row],[Quantity]]), "Good", "Bad")</f>
        <v>Good</v>
      </c>
      <c r="Q283" t="str">
        <f t="shared" si="20"/>
        <v>OK</v>
      </c>
      <c r="R283" t="str">
        <f t="shared" si="21"/>
        <v>BAD</v>
      </c>
      <c r="S283">
        <f t="shared" si="22"/>
        <v>0</v>
      </c>
      <c r="T283">
        <f t="shared" si="23"/>
        <v>1</v>
      </c>
      <c r="U283" t="str">
        <f t="shared" si="24"/>
        <v>DOCUMENTED</v>
      </c>
    </row>
    <row r="284" spans="1:21">
      <c r="A284" t="s">
        <v>296</v>
      </c>
      <c r="B284" t="s">
        <v>4534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 t="str">
        <f>IF((Sheet1[[#This Row],[Quantity]]*Sheet1[[#This Row],[UnitPrice]])=(Sheet1[[#This Row],[TotalPrice]]), "True", "False")</f>
        <v>True</v>
      </c>
      <c r="P284" t="str">
        <f>IF((Sheet1[[#This Row],[ItemsInCart]]&gt;=Sheet1[[#This Row],[Quantity]]), "Good", "Bad")</f>
        <v>Good</v>
      </c>
      <c r="Q284" t="str">
        <f t="shared" si="20"/>
        <v>OK</v>
      </c>
      <c r="R284" t="str">
        <f t="shared" si="21"/>
        <v>BAD</v>
      </c>
      <c r="S284">
        <f t="shared" si="22"/>
        <v>0</v>
      </c>
      <c r="T284">
        <f t="shared" si="23"/>
        <v>1</v>
      </c>
      <c r="U284" t="str">
        <f t="shared" si="24"/>
        <v>REVIEW_RETURN</v>
      </c>
    </row>
    <row r="285" spans="1:21">
      <c r="A285" t="s">
        <v>297</v>
      </c>
      <c r="B285" t="s">
        <v>4535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4961</v>
      </c>
      <c r="M285" t="s">
        <v>4282</v>
      </c>
      <c r="N285">
        <v>2161.3200000000002</v>
      </c>
      <c r="O285" t="str">
        <f>IF((Sheet1[[#This Row],[Quantity]]*Sheet1[[#This Row],[UnitPrice]])=(Sheet1[[#This Row],[TotalPrice]]), "True", "False")</f>
        <v>True</v>
      </c>
      <c r="P285" t="str">
        <f>IF((Sheet1[[#This Row],[ItemsInCart]]&gt;=Sheet1[[#This Row],[Quantity]]), "Good", "Bad")</f>
        <v>Good</v>
      </c>
      <c r="Q285" t="str">
        <f t="shared" si="20"/>
        <v>OK</v>
      </c>
      <c r="R285" t="str">
        <f t="shared" si="21"/>
        <v>GOOD</v>
      </c>
      <c r="S285">
        <f t="shared" si="22"/>
        <v>0</v>
      </c>
      <c r="T285">
        <f t="shared" si="23"/>
        <v>0</v>
      </c>
      <c r="U285" t="str">
        <f t="shared" si="24"/>
        <v>OK</v>
      </c>
    </row>
    <row r="286" spans="1:21">
      <c r="A286" t="s">
        <v>298</v>
      </c>
      <c r="B286" t="s">
        <v>4506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 t="str">
        <f>IF((Sheet1[[#This Row],[Quantity]]*Sheet1[[#This Row],[UnitPrice]])=(Sheet1[[#This Row],[TotalPrice]]), "True", "False")</f>
        <v>True</v>
      </c>
      <c r="P286" t="str">
        <f>IF((Sheet1[[#This Row],[ItemsInCart]]&gt;=Sheet1[[#This Row],[Quantity]]), "Good", "Bad")</f>
        <v>Good</v>
      </c>
      <c r="Q286" t="str">
        <f t="shared" si="20"/>
        <v>OK</v>
      </c>
      <c r="R286" t="str">
        <f t="shared" si="21"/>
        <v>GOOD</v>
      </c>
      <c r="S286">
        <f t="shared" si="22"/>
        <v>0</v>
      </c>
      <c r="T286">
        <f t="shared" si="23"/>
        <v>0</v>
      </c>
      <c r="U286" t="str">
        <f t="shared" si="24"/>
        <v>OK</v>
      </c>
    </row>
    <row r="287" spans="1:21">
      <c r="A287" t="s">
        <v>299</v>
      </c>
      <c r="B287" t="s">
        <v>4352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4961</v>
      </c>
      <c r="M287" t="s">
        <v>4282</v>
      </c>
      <c r="N287">
        <v>338.31</v>
      </c>
      <c r="O287" t="str">
        <f>IF((Sheet1[[#This Row],[Quantity]]*Sheet1[[#This Row],[UnitPrice]])=(Sheet1[[#This Row],[TotalPrice]]), "True", "False")</f>
        <v>True</v>
      </c>
      <c r="P287" t="str">
        <f>IF((Sheet1[[#This Row],[ItemsInCart]]&gt;=Sheet1[[#This Row],[Quantity]]), "Good", "Bad")</f>
        <v>Good</v>
      </c>
      <c r="Q287" t="str">
        <f t="shared" si="20"/>
        <v>OK</v>
      </c>
      <c r="R287" t="str">
        <f t="shared" si="21"/>
        <v>GOOD</v>
      </c>
      <c r="S287">
        <f t="shared" si="22"/>
        <v>0</v>
      </c>
      <c r="T287">
        <f t="shared" si="23"/>
        <v>0</v>
      </c>
      <c r="U287" t="str">
        <f t="shared" si="24"/>
        <v>OK</v>
      </c>
    </row>
    <row r="288" spans="1:21">
      <c r="A288" t="s">
        <v>300</v>
      </c>
      <c r="B288" t="s">
        <v>4536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 t="str">
        <f>IF((Sheet1[[#This Row],[Quantity]]*Sheet1[[#This Row],[UnitPrice]])=(Sheet1[[#This Row],[TotalPrice]]), "True", "False")</f>
        <v>True</v>
      </c>
      <c r="P288" t="str">
        <f>IF((Sheet1[[#This Row],[ItemsInCart]]&gt;=Sheet1[[#This Row],[Quantity]]), "Good", "Bad")</f>
        <v>Good</v>
      </c>
      <c r="Q288" t="str">
        <f t="shared" si="20"/>
        <v>OK</v>
      </c>
      <c r="R288" t="str">
        <f t="shared" si="21"/>
        <v>GOOD</v>
      </c>
      <c r="S288">
        <f t="shared" si="22"/>
        <v>0</v>
      </c>
      <c r="T288">
        <f t="shared" si="23"/>
        <v>0</v>
      </c>
      <c r="U288" t="str">
        <f t="shared" si="24"/>
        <v>OK</v>
      </c>
    </row>
    <row r="289" spans="1:21">
      <c r="A289" t="s">
        <v>301</v>
      </c>
      <c r="B289" t="s">
        <v>4537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4961</v>
      </c>
      <c r="M289" t="s">
        <v>4281</v>
      </c>
      <c r="N289">
        <v>2620.7199999999998</v>
      </c>
      <c r="O289" t="str">
        <f>IF((Sheet1[[#This Row],[Quantity]]*Sheet1[[#This Row],[UnitPrice]])=(Sheet1[[#This Row],[TotalPrice]]), "True", "False")</f>
        <v>True</v>
      </c>
      <c r="P289" t="str">
        <f>IF((Sheet1[[#This Row],[ItemsInCart]]&gt;=Sheet1[[#This Row],[Quantity]]), "Good", "Bad")</f>
        <v>Good</v>
      </c>
      <c r="Q289" t="str">
        <f t="shared" si="20"/>
        <v>OK</v>
      </c>
      <c r="R289" t="str">
        <f t="shared" si="21"/>
        <v>GOOD</v>
      </c>
      <c r="S289">
        <f t="shared" si="22"/>
        <v>0</v>
      </c>
      <c r="T289">
        <f t="shared" si="23"/>
        <v>0</v>
      </c>
      <c r="U289" t="str">
        <f t="shared" si="24"/>
        <v>OK</v>
      </c>
    </row>
    <row r="290" spans="1:21">
      <c r="A290" t="s">
        <v>302</v>
      </c>
      <c r="B290" t="s">
        <v>4538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 t="str">
        <f>IF((Sheet1[[#This Row],[Quantity]]*Sheet1[[#This Row],[UnitPrice]])=(Sheet1[[#This Row],[TotalPrice]]), "True", "False")</f>
        <v>True</v>
      </c>
      <c r="P290" t="str">
        <f>IF((Sheet1[[#This Row],[ItemsInCart]]&gt;=Sheet1[[#This Row],[Quantity]]), "Good", "Bad")</f>
        <v>Good</v>
      </c>
      <c r="Q290" t="str">
        <f t="shared" si="20"/>
        <v>OK</v>
      </c>
      <c r="R290" t="str">
        <f t="shared" si="21"/>
        <v>GOOD</v>
      </c>
      <c r="S290">
        <f t="shared" si="22"/>
        <v>0</v>
      </c>
      <c r="T290">
        <f t="shared" si="23"/>
        <v>0</v>
      </c>
      <c r="U290" t="str">
        <f t="shared" si="24"/>
        <v>OK</v>
      </c>
    </row>
    <row r="291" spans="1:21">
      <c r="A291" t="s">
        <v>303</v>
      </c>
      <c r="B291" t="s">
        <v>4539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 t="str">
        <f>IF((Sheet1[[#This Row],[Quantity]]*Sheet1[[#This Row],[UnitPrice]])=(Sheet1[[#This Row],[TotalPrice]]), "True", "False")</f>
        <v>True</v>
      </c>
      <c r="P291" t="str">
        <f>IF((Sheet1[[#This Row],[ItemsInCart]]&gt;=Sheet1[[#This Row],[Quantity]]), "Good", "Bad")</f>
        <v>Good</v>
      </c>
      <c r="Q291" t="str">
        <f t="shared" si="20"/>
        <v>OK</v>
      </c>
      <c r="R291" t="str">
        <f t="shared" si="21"/>
        <v>GOOD</v>
      </c>
      <c r="S291">
        <f t="shared" si="22"/>
        <v>0</v>
      </c>
      <c r="T291">
        <f t="shared" si="23"/>
        <v>0</v>
      </c>
      <c r="U291" t="str">
        <f t="shared" si="24"/>
        <v>OK</v>
      </c>
    </row>
    <row r="292" spans="1:21">
      <c r="A292" t="s">
        <v>304</v>
      </c>
      <c r="B292" t="s">
        <v>4540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 t="str">
        <f>IF((Sheet1[[#This Row],[Quantity]]*Sheet1[[#This Row],[UnitPrice]])=(Sheet1[[#This Row],[TotalPrice]]), "True", "False")</f>
        <v>True</v>
      </c>
      <c r="P292" t="str">
        <f>IF((Sheet1[[#This Row],[ItemsInCart]]&gt;=Sheet1[[#This Row],[Quantity]]), "Good", "Bad")</f>
        <v>Good</v>
      </c>
      <c r="Q292" t="str">
        <f t="shared" si="20"/>
        <v>OK</v>
      </c>
      <c r="R292" t="str">
        <f t="shared" si="21"/>
        <v>GOOD</v>
      </c>
      <c r="S292">
        <f t="shared" si="22"/>
        <v>0</v>
      </c>
      <c r="T292">
        <f t="shared" si="23"/>
        <v>0</v>
      </c>
      <c r="U292" t="str">
        <f t="shared" si="24"/>
        <v>OK</v>
      </c>
    </row>
    <row r="293" spans="1:21">
      <c r="A293" t="s">
        <v>305</v>
      </c>
      <c r="B293" t="s">
        <v>4541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 t="str">
        <f>IF((Sheet1[[#This Row],[Quantity]]*Sheet1[[#This Row],[UnitPrice]])=(Sheet1[[#This Row],[TotalPrice]]), "True", "False")</f>
        <v>True</v>
      </c>
      <c r="P293" t="str">
        <f>IF((Sheet1[[#This Row],[ItemsInCart]]&gt;=Sheet1[[#This Row],[Quantity]]), "Good", "Bad")</f>
        <v>Good</v>
      </c>
      <c r="Q293" t="str">
        <f t="shared" si="20"/>
        <v>OK</v>
      </c>
      <c r="R293" t="str">
        <f t="shared" si="21"/>
        <v>GOOD</v>
      </c>
      <c r="S293">
        <f t="shared" si="22"/>
        <v>0</v>
      </c>
      <c r="T293">
        <f t="shared" si="23"/>
        <v>0</v>
      </c>
      <c r="U293" t="str">
        <f t="shared" si="24"/>
        <v>OK</v>
      </c>
    </row>
    <row r="294" spans="1:21">
      <c r="A294" t="s">
        <v>306</v>
      </c>
      <c r="B294" t="s">
        <v>4542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4961</v>
      </c>
      <c r="M294" t="s">
        <v>4281</v>
      </c>
      <c r="N294">
        <v>65.95</v>
      </c>
      <c r="O294" t="str">
        <f>IF((Sheet1[[#This Row],[Quantity]]*Sheet1[[#This Row],[UnitPrice]])=(Sheet1[[#This Row],[TotalPrice]]), "True", "False")</f>
        <v>True</v>
      </c>
      <c r="P294" t="str">
        <f>IF((Sheet1[[#This Row],[ItemsInCart]]&gt;=Sheet1[[#This Row],[Quantity]]), "Good", "Bad")</f>
        <v>Good</v>
      </c>
      <c r="Q294" t="str">
        <f t="shared" si="20"/>
        <v>OK</v>
      </c>
      <c r="R294" t="str">
        <f t="shared" si="21"/>
        <v>GOOD</v>
      </c>
      <c r="S294">
        <f t="shared" si="22"/>
        <v>0</v>
      </c>
      <c r="T294">
        <f t="shared" si="23"/>
        <v>0</v>
      </c>
      <c r="U294" t="str">
        <f t="shared" si="24"/>
        <v>OK</v>
      </c>
    </row>
    <row r="295" spans="1:21">
      <c r="A295" t="s">
        <v>307</v>
      </c>
      <c r="B295" t="s">
        <v>4506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4961</v>
      </c>
      <c r="M295" t="s">
        <v>4278</v>
      </c>
      <c r="N295">
        <v>1852.16</v>
      </c>
      <c r="O295" t="str">
        <f>IF((Sheet1[[#This Row],[Quantity]]*Sheet1[[#This Row],[UnitPrice]])=(Sheet1[[#This Row],[TotalPrice]]), "True", "False")</f>
        <v>True</v>
      </c>
      <c r="P295" t="str">
        <f>IF((Sheet1[[#This Row],[ItemsInCart]]&gt;=Sheet1[[#This Row],[Quantity]]), "Good", "Bad")</f>
        <v>Good</v>
      </c>
      <c r="Q295" t="str">
        <f t="shared" si="20"/>
        <v>OK</v>
      </c>
      <c r="R295" t="str">
        <f t="shared" si="21"/>
        <v>GOOD</v>
      </c>
      <c r="S295">
        <f t="shared" si="22"/>
        <v>0</v>
      </c>
      <c r="T295">
        <f t="shared" si="23"/>
        <v>0</v>
      </c>
      <c r="U295" t="str">
        <f t="shared" si="24"/>
        <v>OK</v>
      </c>
    </row>
    <row r="296" spans="1:21">
      <c r="A296" t="s">
        <v>308</v>
      </c>
      <c r="B296" t="s">
        <v>4543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 t="str">
        <f>IF((Sheet1[[#This Row],[Quantity]]*Sheet1[[#This Row],[UnitPrice]])=(Sheet1[[#This Row],[TotalPrice]]), "True", "False")</f>
        <v>True</v>
      </c>
      <c r="P296" t="str">
        <f>IF((Sheet1[[#This Row],[ItemsInCart]]&gt;=Sheet1[[#This Row],[Quantity]]), "Good", "Bad")</f>
        <v>Good</v>
      </c>
      <c r="Q296" t="str">
        <f t="shared" si="20"/>
        <v>OK</v>
      </c>
      <c r="R296" t="str">
        <f t="shared" si="21"/>
        <v>GOOD</v>
      </c>
      <c r="S296">
        <f t="shared" si="22"/>
        <v>0</v>
      </c>
      <c r="T296">
        <f t="shared" si="23"/>
        <v>0</v>
      </c>
      <c r="U296" t="str">
        <f t="shared" si="24"/>
        <v>OK</v>
      </c>
    </row>
    <row r="297" spans="1:21">
      <c r="A297" t="s">
        <v>309</v>
      </c>
      <c r="B297" t="s">
        <v>4544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 t="str">
        <f>IF((Sheet1[[#This Row],[Quantity]]*Sheet1[[#This Row],[UnitPrice]])=(Sheet1[[#This Row],[TotalPrice]]), "True", "False")</f>
        <v>True</v>
      </c>
      <c r="P297" t="str">
        <f>IF((Sheet1[[#This Row],[ItemsInCart]]&gt;=Sheet1[[#This Row],[Quantity]]), "Good", "Bad")</f>
        <v>Good</v>
      </c>
      <c r="Q297" t="str">
        <f t="shared" si="20"/>
        <v>OK</v>
      </c>
      <c r="R297" t="str">
        <f t="shared" si="21"/>
        <v>BAD</v>
      </c>
      <c r="S297">
        <f t="shared" si="22"/>
        <v>0</v>
      </c>
      <c r="T297">
        <f t="shared" si="23"/>
        <v>1</v>
      </c>
      <c r="U297" t="str">
        <f t="shared" si="24"/>
        <v>REVIEW_RETURN</v>
      </c>
    </row>
    <row r="298" spans="1:21">
      <c r="A298" t="s">
        <v>310</v>
      </c>
      <c r="B298" t="s">
        <v>4366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 t="str">
        <f>IF((Sheet1[[#This Row],[Quantity]]*Sheet1[[#This Row],[UnitPrice]])=(Sheet1[[#This Row],[TotalPrice]]), "True", "False")</f>
        <v>True</v>
      </c>
      <c r="P298" t="str">
        <f>IF((Sheet1[[#This Row],[ItemsInCart]]&gt;=Sheet1[[#This Row],[Quantity]]), "Good", "Bad")</f>
        <v>Good</v>
      </c>
      <c r="Q298" t="str">
        <f t="shared" si="20"/>
        <v>OK</v>
      </c>
      <c r="R298" t="str">
        <f t="shared" si="21"/>
        <v>BAD</v>
      </c>
      <c r="S298">
        <f t="shared" si="22"/>
        <v>0</v>
      </c>
      <c r="T298">
        <f t="shared" si="23"/>
        <v>1</v>
      </c>
      <c r="U298" t="str">
        <f t="shared" si="24"/>
        <v>REVIEW_RETURN</v>
      </c>
    </row>
    <row r="299" spans="1:21">
      <c r="A299" t="s">
        <v>311</v>
      </c>
      <c r="B299" t="s">
        <v>4545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 t="str">
        <f>IF((Sheet1[[#This Row],[Quantity]]*Sheet1[[#This Row],[UnitPrice]])=(Sheet1[[#This Row],[TotalPrice]]), "True", "False")</f>
        <v>True</v>
      </c>
      <c r="P299" t="str">
        <f>IF((Sheet1[[#This Row],[ItemsInCart]]&gt;=Sheet1[[#This Row],[Quantity]]), "Good", "Bad")</f>
        <v>Good</v>
      </c>
      <c r="Q299" t="str">
        <f t="shared" si="20"/>
        <v>OK</v>
      </c>
      <c r="R299" t="str">
        <f t="shared" si="21"/>
        <v>GOOD</v>
      </c>
      <c r="S299">
        <f t="shared" si="22"/>
        <v>0</v>
      </c>
      <c r="T299">
        <f t="shared" si="23"/>
        <v>0</v>
      </c>
      <c r="U299" t="str">
        <f t="shared" si="24"/>
        <v>OK</v>
      </c>
    </row>
    <row r="300" spans="1:21">
      <c r="A300" t="s">
        <v>312</v>
      </c>
      <c r="B300" t="s">
        <v>4546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4961</v>
      </c>
      <c r="M300" t="s">
        <v>4280</v>
      </c>
      <c r="N300">
        <v>1204.68</v>
      </c>
      <c r="O300" t="str">
        <f>IF((Sheet1[[#This Row],[Quantity]]*Sheet1[[#This Row],[UnitPrice]])=(Sheet1[[#This Row],[TotalPrice]]), "True", "False")</f>
        <v>True</v>
      </c>
      <c r="P300" t="str">
        <f>IF((Sheet1[[#This Row],[ItemsInCart]]&gt;=Sheet1[[#This Row],[Quantity]]), "Good", "Bad")</f>
        <v>Good</v>
      </c>
      <c r="Q300" t="str">
        <f t="shared" si="20"/>
        <v>OK</v>
      </c>
      <c r="R300" t="str">
        <f t="shared" si="21"/>
        <v>BAD</v>
      </c>
      <c r="S300">
        <f t="shared" si="22"/>
        <v>0</v>
      </c>
      <c r="T300">
        <f t="shared" si="23"/>
        <v>1</v>
      </c>
      <c r="U300" t="str">
        <f t="shared" si="24"/>
        <v>REVIEW_RETURN</v>
      </c>
    </row>
    <row r="301" spans="1:21">
      <c r="A301" t="s">
        <v>313</v>
      </c>
      <c r="B301" t="s">
        <v>4547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 t="str">
        <f>IF((Sheet1[[#This Row],[Quantity]]*Sheet1[[#This Row],[UnitPrice]])=(Sheet1[[#This Row],[TotalPrice]]), "True", "False")</f>
        <v>True</v>
      </c>
      <c r="P301" t="str">
        <f>IF((Sheet1[[#This Row],[ItemsInCart]]&gt;=Sheet1[[#This Row],[Quantity]]), "Good", "Bad")</f>
        <v>Good</v>
      </c>
      <c r="Q301" t="str">
        <f t="shared" si="20"/>
        <v>OK</v>
      </c>
      <c r="R301" t="str">
        <f t="shared" si="21"/>
        <v>BAD</v>
      </c>
      <c r="S301">
        <f t="shared" si="22"/>
        <v>0</v>
      </c>
      <c r="T301">
        <f t="shared" si="23"/>
        <v>1</v>
      </c>
      <c r="U301" t="str">
        <f t="shared" si="24"/>
        <v>REVIEW_RETURN</v>
      </c>
    </row>
    <row r="302" spans="1:21">
      <c r="A302" t="s">
        <v>314</v>
      </c>
      <c r="B302" t="s">
        <v>4548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 t="str">
        <f>IF((Sheet1[[#This Row],[Quantity]]*Sheet1[[#This Row],[UnitPrice]])=(Sheet1[[#This Row],[TotalPrice]]), "True", "False")</f>
        <v>True</v>
      </c>
      <c r="P302" t="str">
        <f>IF((Sheet1[[#This Row],[ItemsInCart]]&gt;=Sheet1[[#This Row],[Quantity]]), "Good", "Bad")</f>
        <v>Good</v>
      </c>
      <c r="Q302" t="str">
        <f t="shared" si="20"/>
        <v>OK</v>
      </c>
      <c r="R302" t="str">
        <f t="shared" si="21"/>
        <v>GOOD</v>
      </c>
      <c r="S302">
        <f t="shared" si="22"/>
        <v>0</v>
      </c>
      <c r="T302">
        <f t="shared" si="23"/>
        <v>0</v>
      </c>
      <c r="U302" t="str">
        <f t="shared" si="24"/>
        <v>OK</v>
      </c>
    </row>
    <row r="303" spans="1:21">
      <c r="A303" t="s">
        <v>315</v>
      </c>
      <c r="B303" t="s">
        <v>4350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 t="str">
        <f>IF((Sheet1[[#This Row],[Quantity]]*Sheet1[[#This Row],[UnitPrice]])=(Sheet1[[#This Row],[TotalPrice]]), "True", "False")</f>
        <v>True</v>
      </c>
      <c r="P303" t="str">
        <f>IF((Sheet1[[#This Row],[ItemsInCart]]&gt;=Sheet1[[#This Row],[Quantity]]), "Good", "Bad")</f>
        <v>Good</v>
      </c>
      <c r="Q303" t="str">
        <f t="shared" si="20"/>
        <v>OK</v>
      </c>
      <c r="R303" t="str">
        <f t="shared" si="21"/>
        <v>BAD</v>
      </c>
      <c r="S303">
        <f t="shared" si="22"/>
        <v>0</v>
      </c>
      <c r="T303">
        <f t="shared" si="23"/>
        <v>1</v>
      </c>
      <c r="U303" t="str">
        <f t="shared" si="24"/>
        <v>REVIEW_RETURN</v>
      </c>
    </row>
    <row r="304" spans="1:21">
      <c r="A304" t="s">
        <v>316</v>
      </c>
      <c r="B304" t="s">
        <v>4503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 t="str">
        <f>IF((Sheet1[[#This Row],[Quantity]]*Sheet1[[#This Row],[UnitPrice]])=(Sheet1[[#This Row],[TotalPrice]]), "True", "False")</f>
        <v>True</v>
      </c>
      <c r="P304" t="str">
        <f>IF((Sheet1[[#This Row],[ItemsInCart]]&gt;=Sheet1[[#This Row],[Quantity]]), "Good", "Bad")</f>
        <v>Good</v>
      </c>
      <c r="Q304" t="str">
        <f t="shared" si="20"/>
        <v>OK</v>
      </c>
      <c r="R304" t="str">
        <f t="shared" si="21"/>
        <v>BAD</v>
      </c>
      <c r="S304">
        <f t="shared" si="22"/>
        <v>0</v>
      </c>
      <c r="T304">
        <f t="shared" si="23"/>
        <v>1</v>
      </c>
      <c r="U304" t="str">
        <f t="shared" si="24"/>
        <v>DOCUMENTED</v>
      </c>
    </row>
    <row r="305" spans="1:21">
      <c r="A305" t="s">
        <v>317</v>
      </c>
      <c r="B305" t="s">
        <v>4317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4961</v>
      </c>
      <c r="M305" t="s">
        <v>4282</v>
      </c>
      <c r="N305">
        <v>30.54</v>
      </c>
      <c r="O305" t="str">
        <f>IF((Sheet1[[#This Row],[Quantity]]*Sheet1[[#This Row],[UnitPrice]])=(Sheet1[[#This Row],[TotalPrice]]), "True", "False")</f>
        <v>True</v>
      </c>
      <c r="P305" t="str">
        <f>IF((Sheet1[[#This Row],[ItemsInCart]]&gt;=Sheet1[[#This Row],[Quantity]]), "Good", "Bad")</f>
        <v>Good</v>
      </c>
      <c r="Q305" t="str">
        <f t="shared" si="20"/>
        <v>OK</v>
      </c>
      <c r="R305" t="str">
        <f t="shared" si="21"/>
        <v>GOOD</v>
      </c>
      <c r="S305">
        <f t="shared" si="22"/>
        <v>0</v>
      </c>
      <c r="T305">
        <f t="shared" si="23"/>
        <v>0</v>
      </c>
      <c r="U305" t="str">
        <f t="shared" si="24"/>
        <v>OK</v>
      </c>
    </row>
    <row r="306" spans="1:21">
      <c r="A306" t="s">
        <v>318</v>
      </c>
      <c r="B306" t="s">
        <v>4549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 t="str">
        <f>IF((Sheet1[[#This Row],[Quantity]]*Sheet1[[#This Row],[UnitPrice]])=(Sheet1[[#This Row],[TotalPrice]]), "True", "False")</f>
        <v>True</v>
      </c>
      <c r="P306" t="str">
        <f>IF((Sheet1[[#This Row],[ItemsInCart]]&gt;=Sheet1[[#This Row],[Quantity]]), "Good", "Bad")</f>
        <v>Good</v>
      </c>
      <c r="Q306" t="str">
        <f t="shared" si="20"/>
        <v>OK</v>
      </c>
      <c r="R306" t="str">
        <f t="shared" si="21"/>
        <v>GOOD</v>
      </c>
      <c r="S306">
        <f t="shared" si="22"/>
        <v>0</v>
      </c>
      <c r="T306">
        <f t="shared" si="23"/>
        <v>0</v>
      </c>
      <c r="U306" t="str">
        <f t="shared" si="24"/>
        <v>OK</v>
      </c>
    </row>
    <row r="307" spans="1:21">
      <c r="A307" t="s">
        <v>319</v>
      </c>
      <c r="B307" t="s">
        <v>4380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 t="str">
        <f>IF((Sheet1[[#This Row],[Quantity]]*Sheet1[[#This Row],[UnitPrice]])=(Sheet1[[#This Row],[TotalPrice]]), "True", "False")</f>
        <v>True</v>
      </c>
      <c r="P307" t="str">
        <f>IF((Sheet1[[#This Row],[ItemsInCart]]&gt;=Sheet1[[#This Row],[Quantity]]), "Good", "Bad")</f>
        <v>Good</v>
      </c>
      <c r="Q307" t="str">
        <f t="shared" si="20"/>
        <v>OK</v>
      </c>
      <c r="R307" t="str">
        <f t="shared" si="21"/>
        <v>BAD</v>
      </c>
      <c r="S307">
        <f t="shared" si="22"/>
        <v>0</v>
      </c>
      <c r="T307">
        <f t="shared" si="23"/>
        <v>1</v>
      </c>
      <c r="U307" t="str">
        <f t="shared" si="24"/>
        <v>DOCUMENTED</v>
      </c>
    </row>
    <row r="308" spans="1:21">
      <c r="A308" t="s">
        <v>320</v>
      </c>
      <c r="B308" t="s">
        <v>4550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 t="str">
        <f>IF((Sheet1[[#This Row],[Quantity]]*Sheet1[[#This Row],[UnitPrice]])=(Sheet1[[#This Row],[TotalPrice]]), "True", "False")</f>
        <v>True</v>
      </c>
      <c r="P308" t="str">
        <f>IF((Sheet1[[#This Row],[ItemsInCart]]&gt;=Sheet1[[#This Row],[Quantity]]), "Good", "Bad")</f>
        <v>Good</v>
      </c>
      <c r="Q308" t="str">
        <f t="shared" si="20"/>
        <v>OK</v>
      </c>
      <c r="R308" t="str">
        <f t="shared" si="21"/>
        <v>GOOD</v>
      </c>
      <c r="S308">
        <f t="shared" si="22"/>
        <v>0</v>
      </c>
      <c r="T308">
        <f t="shared" si="23"/>
        <v>0</v>
      </c>
      <c r="U308" t="str">
        <f t="shared" si="24"/>
        <v>OK</v>
      </c>
    </row>
    <row r="309" spans="1:21">
      <c r="A309" t="s">
        <v>321</v>
      </c>
      <c r="B309" t="s">
        <v>4551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4961</v>
      </c>
      <c r="M309" t="s">
        <v>4280</v>
      </c>
      <c r="N309">
        <v>1672.23</v>
      </c>
      <c r="O309" t="str">
        <f>IF((Sheet1[[#This Row],[Quantity]]*Sheet1[[#This Row],[UnitPrice]])=(Sheet1[[#This Row],[TotalPrice]]), "True", "False")</f>
        <v>True</v>
      </c>
      <c r="P309" t="str">
        <f>IF((Sheet1[[#This Row],[ItemsInCart]]&gt;=Sheet1[[#This Row],[Quantity]]), "Good", "Bad")</f>
        <v>Good</v>
      </c>
      <c r="Q309" t="str">
        <f t="shared" si="20"/>
        <v>OK</v>
      </c>
      <c r="R309" t="str">
        <f t="shared" si="21"/>
        <v>GOOD</v>
      </c>
      <c r="S309">
        <f t="shared" si="22"/>
        <v>0</v>
      </c>
      <c r="T309">
        <f t="shared" si="23"/>
        <v>0</v>
      </c>
      <c r="U309" t="str">
        <f t="shared" si="24"/>
        <v>OK</v>
      </c>
    </row>
    <row r="310" spans="1:21">
      <c r="A310" t="s">
        <v>322</v>
      </c>
      <c r="B310" t="s">
        <v>4349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 t="str">
        <f>IF((Sheet1[[#This Row],[Quantity]]*Sheet1[[#This Row],[UnitPrice]])=(Sheet1[[#This Row],[TotalPrice]]), "True", "False")</f>
        <v>True</v>
      </c>
      <c r="P310" t="str">
        <f>IF((Sheet1[[#This Row],[ItemsInCart]]&gt;=Sheet1[[#This Row],[Quantity]]), "Good", "Bad")</f>
        <v>Good</v>
      </c>
      <c r="Q310" t="str">
        <f t="shared" si="20"/>
        <v>OK</v>
      </c>
      <c r="R310" t="str">
        <f t="shared" si="21"/>
        <v>GOOD</v>
      </c>
      <c r="S310">
        <f t="shared" si="22"/>
        <v>0</v>
      </c>
      <c r="T310">
        <f t="shared" si="23"/>
        <v>0</v>
      </c>
      <c r="U310" t="str">
        <f t="shared" si="24"/>
        <v>OK</v>
      </c>
    </row>
    <row r="311" spans="1:21">
      <c r="A311" t="s">
        <v>323</v>
      </c>
      <c r="B311" t="s">
        <v>4552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 t="str">
        <f>IF((Sheet1[[#This Row],[Quantity]]*Sheet1[[#This Row],[UnitPrice]])=(Sheet1[[#This Row],[TotalPrice]]), "True", "False")</f>
        <v>True</v>
      </c>
      <c r="P311" t="str">
        <f>IF((Sheet1[[#This Row],[ItemsInCart]]&gt;=Sheet1[[#This Row],[Quantity]]), "Good", "Bad")</f>
        <v>Good</v>
      </c>
      <c r="Q311" t="str">
        <f t="shared" si="20"/>
        <v>OK</v>
      </c>
      <c r="R311" t="str">
        <f t="shared" si="21"/>
        <v>GOOD</v>
      </c>
      <c r="S311">
        <f t="shared" si="22"/>
        <v>0</v>
      </c>
      <c r="T311">
        <f t="shared" si="23"/>
        <v>0</v>
      </c>
      <c r="U311" t="str">
        <f t="shared" si="24"/>
        <v>OK</v>
      </c>
    </row>
    <row r="312" spans="1:21">
      <c r="A312" t="s">
        <v>324</v>
      </c>
      <c r="B312" t="s">
        <v>4553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4961</v>
      </c>
      <c r="M312" t="s">
        <v>4279</v>
      </c>
      <c r="N312">
        <v>397.43999999999988</v>
      </c>
      <c r="O312" t="str">
        <f>IF((Sheet1[[#This Row],[Quantity]]*Sheet1[[#This Row],[UnitPrice]])=(Sheet1[[#This Row],[TotalPrice]]), "True", "False")</f>
        <v>True</v>
      </c>
      <c r="P312" t="str">
        <f>IF((Sheet1[[#This Row],[ItemsInCart]]&gt;=Sheet1[[#This Row],[Quantity]]), "Good", "Bad")</f>
        <v>Good</v>
      </c>
      <c r="Q312" t="str">
        <f t="shared" si="20"/>
        <v>OK</v>
      </c>
      <c r="R312" t="str">
        <f t="shared" si="21"/>
        <v>GOOD</v>
      </c>
      <c r="S312">
        <f t="shared" si="22"/>
        <v>0</v>
      </c>
      <c r="T312">
        <f t="shared" si="23"/>
        <v>0</v>
      </c>
      <c r="U312" t="str">
        <f t="shared" si="24"/>
        <v>OK</v>
      </c>
    </row>
    <row r="313" spans="1:21">
      <c r="A313" t="s">
        <v>325</v>
      </c>
      <c r="B313" t="s">
        <v>4554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4961</v>
      </c>
      <c r="M313" t="s">
        <v>4278</v>
      </c>
      <c r="N313">
        <v>2446.85</v>
      </c>
      <c r="O313" t="str">
        <f>IF((Sheet1[[#This Row],[Quantity]]*Sheet1[[#This Row],[UnitPrice]])=(Sheet1[[#This Row],[TotalPrice]]), "True", "False")</f>
        <v>True</v>
      </c>
      <c r="P313" t="str">
        <f>IF((Sheet1[[#This Row],[ItemsInCart]]&gt;=Sheet1[[#This Row],[Quantity]]), "Good", "Bad")</f>
        <v>Good</v>
      </c>
      <c r="Q313" t="str">
        <f t="shared" si="20"/>
        <v>OK</v>
      </c>
      <c r="R313" t="str">
        <f t="shared" si="21"/>
        <v>GOOD</v>
      </c>
      <c r="S313">
        <f t="shared" si="22"/>
        <v>0</v>
      </c>
      <c r="T313">
        <f t="shared" si="23"/>
        <v>0</v>
      </c>
      <c r="U313" t="str">
        <f t="shared" si="24"/>
        <v>OK</v>
      </c>
    </row>
    <row r="314" spans="1:21">
      <c r="A314" t="s">
        <v>326</v>
      </c>
      <c r="B314" t="s">
        <v>4555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 t="str">
        <f>IF((Sheet1[[#This Row],[Quantity]]*Sheet1[[#This Row],[UnitPrice]])=(Sheet1[[#This Row],[TotalPrice]]), "True", "False")</f>
        <v>True</v>
      </c>
      <c r="P314" t="str">
        <f>IF((Sheet1[[#This Row],[ItemsInCart]]&gt;=Sheet1[[#This Row],[Quantity]]), "Good", "Bad")</f>
        <v>Good</v>
      </c>
      <c r="Q314" t="str">
        <f t="shared" si="20"/>
        <v>OK</v>
      </c>
      <c r="R314" t="str">
        <f t="shared" si="21"/>
        <v>BAD</v>
      </c>
      <c r="S314">
        <f t="shared" si="22"/>
        <v>0</v>
      </c>
      <c r="T314">
        <f t="shared" si="23"/>
        <v>1</v>
      </c>
      <c r="U314" t="str">
        <f t="shared" si="24"/>
        <v>DOCUMENTED</v>
      </c>
    </row>
    <row r="315" spans="1:21">
      <c r="A315" t="s">
        <v>327</v>
      </c>
      <c r="B315" t="s">
        <v>4556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 t="str">
        <f>IF((Sheet1[[#This Row],[Quantity]]*Sheet1[[#This Row],[UnitPrice]])=(Sheet1[[#This Row],[TotalPrice]]), "True", "False")</f>
        <v>True</v>
      </c>
      <c r="P315" t="str">
        <f>IF((Sheet1[[#This Row],[ItemsInCart]]&gt;=Sheet1[[#This Row],[Quantity]]), "Good", "Bad")</f>
        <v>Good</v>
      </c>
      <c r="Q315" t="str">
        <f t="shared" si="20"/>
        <v>OK</v>
      </c>
      <c r="R315" t="str">
        <f t="shared" si="21"/>
        <v>GOOD</v>
      </c>
      <c r="S315">
        <f t="shared" si="22"/>
        <v>0</v>
      </c>
      <c r="T315">
        <f t="shared" si="23"/>
        <v>0</v>
      </c>
      <c r="U315" t="str">
        <f t="shared" si="24"/>
        <v>OK</v>
      </c>
    </row>
    <row r="316" spans="1:21">
      <c r="A316" t="s">
        <v>328</v>
      </c>
      <c r="B316" t="s">
        <v>4557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 t="str">
        <f>IF((Sheet1[[#This Row],[Quantity]]*Sheet1[[#This Row],[UnitPrice]])=(Sheet1[[#This Row],[TotalPrice]]), "True", "False")</f>
        <v>True</v>
      </c>
      <c r="P316" t="str">
        <f>IF((Sheet1[[#This Row],[ItemsInCart]]&gt;=Sheet1[[#This Row],[Quantity]]), "Good", "Bad")</f>
        <v>Good</v>
      </c>
      <c r="Q316" t="str">
        <f t="shared" si="20"/>
        <v>OK</v>
      </c>
      <c r="R316" t="str">
        <f t="shared" si="21"/>
        <v>GOOD</v>
      </c>
      <c r="S316">
        <f t="shared" si="22"/>
        <v>0</v>
      </c>
      <c r="T316">
        <f t="shared" si="23"/>
        <v>0</v>
      </c>
      <c r="U316" t="str">
        <f t="shared" si="24"/>
        <v>OK</v>
      </c>
    </row>
    <row r="317" spans="1:21">
      <c r="A317" t="s">
        <v>329</v>
      </c>
      <c r="B317" t="s">
        <v>4558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 t="str">
        <f>IF((Sheet1[[#This Row],[Quantity]]*Sheet1[[#This Row],[UnitPrice]])=(Sheet1[[#This Row],[TotalPrice]]), "True", "False")</f>
        <v>True</v>
      </c>
      <c r="P317" t="str">
        <f>IF((Sheet1[[#This Row],[ItemsInCart]]&gt;=Sheet1[[#This Row],[Quantity]]), "Good", "Bad")</f>
        <v>Good</v>
      </c>
      <c r="Q317" t="str">
        <f t="shared" si="20"/>
        <v>OK</v>
      </c>
      <c r="R317" t="str">
        <f t="shared" si="21"/>
        <v>BAD</v>
      </c>
      <c r="S317">
        <f t="shared" si="22"/>
        <v>0</v>
      </c>
      <c r="T317">
        <f t="shared" si="23"/>
        <v>1</v>
      </c>
      <c r="U317" t="str">
        <f t="shared" si="24"/>
        <v>REVIEW_RETURN</v>
      </c>
    </row>
    <row r="318" spans="1:21">
      <c r="A318" t="s">
        <v>330</v>
      </c>
      <c r="B318" t="s">
        <v>4559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 t="str">
        <f>IF((Sheet1[[#This Row],[Quantity]]*Sheet1[[#This Row],[UnitPrice]])=(Sheet1[[#This Row],[TotalPrice]]), "True", "False")</f>
        <v>True</v>
      </c>
      <c r="P318" t="str">
        <f>IF((Sheet1[[#This Row],[ItemsInCart]]&gt;=Sheet1[[#This Row],[Quantity]]), "Good", "Bad")</f>
        <v>Good</v>
      </c>
      <c r="Q318" t="str">
        <f t="shared" si="20"/>
        <v>OK</v>
      </c>
      <c r="R318" t="str">
        <f t="shared" si="21"/>
        <v>GOOD</v>
      </c>
      <c r="S318">
        <f t="shared" si="22"/>
        <v>0</v>
      </c>
      <c r="T318">
        <f t="shared" si="23"/>
        <v>0</v>
      </c>
      <c r="U318" t="str">
        <f t="shared" si="24"/>
        <v>OK</v>
      </c>
    </row>
    <row r="319" spans="1:21">
      <c r="A319" t="s">
        <v>331</v>
      </c>
      <c r="B319" t="s">
        <v>4415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4961</v>
      </c>
      <c r="M319" t="s">
        <v>4278</v>
      </c>
      <c r="N319">
        <v>279.89999999999998</v>
      </c>
      <c r="O319" t="str">
        <f>IF((Sheet1[[#This Row],[Quantity]]*Sheet1[[#This Row],[UnitPrice]])=(Sheet1[[#This Row],[TotalPrice]]), "True", "False")</f>
        <v>True</v>
      </c>
      <c r="P319" t="str">
        <f>IF((Sheet1[[#This Row],[ItemsInCart]]&gt;=Sheet1[[#This Row],[Quantity]]), "Good", "Bad")</f>
        <v>Good</v>
      </c>
      <c r="Q319" t="str">
        <f t="shared" si="20"/>
        <v>OK</v>
      </c>
      <c r="R319" t="str">
        <f t="shared" si="21"/>
        <v>GOOD</v>
      </c>
      <c r="S319">
        <f t="shared" si="22"/>
        <v>0</v>
      </c>
      <c r="T319">
        <f t="shared" si="23"/>
        <v>0</v>
      </c>
      <c r="U319" t="str">
        <f t="shared" si="24"/>
        <v>OK</v>
      </c>
    </row>
    <row r="320" spans="1:21">
      <c r="A320" t="s">
        <v>332</v>
      </c>
      <c r="B320" t="s">
        <v>4560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 t="str">
        <f>IF((Sheet1[[#This Row],[Quantity]]*Sheet1[[#This Row],[UnitPrice]])=(Sheet1[[#This Row],[TotalPrice]]), "True", "False")</f>
        <v>True</v>
      </c>
      <c r="P320" t="str">
        <f>IF((Sheet1[[#This Row],[ItemsInCart]]&gt;=Sheet1[[#This Row],[Quantity]]), "Good", "Bad")</f>
        <v>Good</v>
      </c>
      <c r="Q320" t="str">
        <f t="shared" si="20"/>
        <v>OK</v>
      </c>
      <c r="R320" t="str">
        <f t="shared" si="21"/>
        <v>BAD</v>
      </c>
      <c r="S320">
        <f t="shared" si="22"/>
        <v>0</v>
      </c>
      <c r="T320">
        <f t="shared" si="23"/>
        <v>1</v>
      </c>
      <c r="U320" t="str">
        <f t="shared" si="24"/>
        <v>REVIEW_RETURN</v>
      </c>
    </row>
    <row r="321" spans="1:21">
      <c r="A321" t="s">
        <v>333</v>
      </c>
      <c r="B321" t="s">
        <v>4561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4961</v>
      </c>
      <c r="M321" t="s">
        <v>4278</v>
      </c>
      <c r="N321">
        <v>1126.1199999999999</v>
      </c>
      <c r="O321" t="str">
        <f>IF((Sheet1[[#This Row],[Quantity]]*Sheet1[[#This Row],[UnitPrice]])=(Sheet1[[#This Row],[TotalPrice]]), "True", "False")</f>
        <v>True</v>
      </c>
      <c r="P321" t="str">
        <f>IF((Sheet1[[#This Row],[ItemsInCart]]&gt;=Sheet1[[#This Row],[Quantity]]), "Good", "Bad")</f>
        <v>Good</v>
      </c>
      <c r="Q321" t="str">
        <f t="shared" si="20"/>
        <v>OK</v>
      </c>
      <c r="R321" t="str">
        <f t="shared" si="21"/>
        <v>GOOD</v>
      </c>
      <c r="S321">
        <f t="shared" si="22"/>
        <v>0</v>
      </c>
      <c r="T321">
        <f t="shared" si="23"/>
        <v>0</v>
      </c>
      <c r="U321" t="str">
        <f t="shared" si="24"/>
        <v>OK</v>
      </c>
    </row>
    <row r="322" spans="1:21">
      <c r="A322" t="s">
        <v>334</v>
      </c>
      <c r="B322" t="s">
        <v>4319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 t="str">
        <f>IF((Sheet1[[#This Row],[Quantity]]*Sheet1[[#This Row],[UnitPrice]])=(Sheet1[[#This Row],[TotalPrice]]), "True", "False")</f>
        <v>True</v>
      </c>
      <c r="P322" t="str">
        <f>IF((Sheet1[[#This Row],[ItemsInCart]]&gt;=Sheet1[[#This Row],[Quantity]]), "Good", "Bad")</f>
        <v>Good</v>
      </c>
      <c r="Q322" t="str">
        <f t="shared" ref="Q322:Q385" si="25">IF(AND(E322&gt;0, F322&gt;0,N322&gt;0),"OK","INVALID")</f>
        <v>OK</v>
      </c>
      <c r="R322" t="str">
        <f t="shared" ref="R322:R385" si="26">IF(OR(AND(OR(I322="Shipped",I322="Delivered",I322="Returned"),J322=""),AND(OR(I322="Processing",I322="Pending",I322="Cancelled"),J322&lt;&gt;"")),"BAD","GOOD")</f>
        <v>GOOD</v>
      </c>
      <c r="S322">
        <f t="shared" ref="S322:S385" si="27">IF(AND(OR(I322="Shipped",I322="Delivered",I322="Returned"),J322=""),1,0)</f>
        <v>0</v>
      </c>
      <c r="T322">
        <f t="shared" ref="T322:T385" si="28">IF(AND(OR(I322="Processing",I322="Pending",I322="Cancelled"),J322&lt;&gt;""),1,0)</f>
        <v>0</v>
      </c>
      <c r="U322" t="str">
        <f t="shared" ref="U322:U385" si="29">IF(AND(OR(I322="Shipped",I322="Delivered"),J322=""),"MISSING_TRACKING", IF(AND(OR(I322="Processing",I322="Pending"),J322&lt;&gt;""),"DOCUMENTED", IF(AND(I322="Cancelled",J322&lt;&gt;""), "REVIEW_RETURN", "OK")))</f>
        <v>OK</v>
      </c>
    </row>
    <row r="323" spans="1:21">
      <c r="A323" t="s">
        <v>335</v>
      </c>
      <c r="B323" t="s">
        <v>4562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 t="str">
        <f>IF((Sheet1[[#This Row],[Quantity]]*Sheet1[[#This Row],[UnitPrice]])=(Sheet1[[#This Row],[TotalPrice]]), "True", "False")</f>
        <v>True</v>
      </c>
      <c r="P323" t="str">
        <f>IF((Sheet1[[#This Row],[ItemsInCart]]&gt;=Sheet1[[#This Row],[Quantity]]), "Good", "Bad")</f>
        <v>Good</v>
      </c>
      <c r="Q323" t="str">
        <f t="shared" si="25"/>
        <v>OK</v>
      </c>
      <c r="R323" t="str">
        <f t="shared" si="26"/>
        <v>BAD</v>
      </c>
      <c r="S323">
        <f t="shared" si="27"/>
        <v>0</v>
      </c>
      <c r="T323">
        <f t="shared" si="28"/>
        <v>1</v>
      </c>
      <c r="U323" t="str">
        <f t="shared" si="29"/>
        <v>REVIEW_RETURN</v>
      </c>
    </row>
    <row r="324" spans="1:21">
      <c r="A324" t="s">
        <v>336</v>
      </c>
      <c r="B324" t="s">
        <v>4563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 t="str">
        <f>IF((Sheet1[[#This Row],[Quantity]]*Sheet1[[#This Row],[UnitPrice]])=(Sheet1[[#This Row],[TotalPrice]]), "True", "False")</f>
        <v>True</v>
      </c>
      <c r="P324" t="str">
        <f>IF((Sheet1[[#This Row],[ItemsInCart]]&gt;=Sheet1[[#This Row],[Quantity]]), "Good", "Bad")</f>
        <v>Good</v>
      </c>
      <c r="Q324" t="str">
        <f t="shared" si="25"/>
        <v>OK</v>
      </c>
      <c r="R324" t="str">
        <f t="shared" si="26"/>
        <v>GOOD</v>
      </c>
      <c r="S324">
        <f t="shared" si="27"/>
        <v>0</v>
      </c>
      <c r="T324">
        <f t="shared" si="28"/>
        <v>0</v>
      </c>
      <c r="U324" t="str">
        <f t="shared" si="29"/>
        <v>OK</v>
      </c>
    </row>
    <row r="325" spans="1:21">
      <c r="A325" t="s">
        <v>337</v>
      </c>
      <c r="B325" t="s">
        <v>4564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 t="str">
        <f>IF((Sheet1[[#This Row],[Quantity]]*Sheet1[[#This Row],[UnitPrice]])=(Sheet1[[#This Row],[TotalPrice]]), "True", "False")</f>
        <v>True</v>
      </c>
      <c r="P325" t="str">
        <f>IF((Sheet1[[#This Row],[ItemsInCart]]&gt;=Sheet1[[#This Row],[Quantity]]), "Good", "Bad")</f>
        <v>Good</v>
      </c>
      <c r="Q325" t="str">
        <f t="shared" si="25"/>
        <v>OK</v>
      </c>
      <c r="R325" t="str">
        <f t="shared" si="26"/>
        <v>GOOD</v>
      </c>
      <c r="S325">
        <f t="shared" si="27"/>
        <v>0</v>
      </c>
      <c r="T325">
        <f t="shared" si="28"/>
        <v>0</v>
      </c>
      <c r="U325" t="str">
        <f t="shared" si="29"/>
        <v>OK</v>
      </c>
    </row>
    <row r="326" spans="1:21">
      <c r="A326" t="s">
        <v>338</v>
      </c>
      <c r="B326" t="s">
        <v>4419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4961</v>
      </c>
      <c r="M326" t="s">
        <v>4279</v>
      </c>
      <c r="N326">
        <v>212.79</v>
      </c>
      <c r="O326" t="str">
        <f>IF((Sheet1[[#This Row],[Quantity]]*Sheet1[[#This Row],[UnitPrice]])=(Sheet1[[#This Row],[TotalPrice]]), "True", "False")</f>
        <v>True</v>
      </c>
      <c r="P326" t="str">
        <f>IF((Sheet1[[#This Row],[ItemsInCart]]&gt;=Sheet1[[#This Row],[Quantity]]), "Good", "Bad")</f>
        <v>Good</v>
      </c>
      <c r="Q326" t="str">
        <f t="shared" si="25"/>
        <v>OK</v>
      </c>
      <c r="R326" t="str">
        <f t="shared" si="26"/>
        <v>GOOD</v>
      </c>
      <c r="S326">
        <f t="shared" si="27"/>
        <v>0</v>
      </c>
      <c r="T326">
        <f t="shared" si="28"/>
        <v>0</v>
      </c>
      <c r="U326" t="str">
        <f t="shared" si="29"/>
        <v>OK</v>
      </c>
    </row>
    <row r="327" spans="1:21">
      <c r="A327" t="s">
        <v>339</v>
      </c>
      <c r="B327" t="s">
        <v>4565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4961</v>
      </c>
      <c r="M327" t="s">
        <v>4279</v>
      </c>
      <c r="N327">
        <v>1084.17</v>
      </c>
      <c r="O327" t="str">
        <f>IF((Sheet1[[#This Row],[Quantity]]*Sheet1[[#This Row],[UnitPrice]])=(Sheet1[[#This Row],[TotalPrice]]), "True", "False")</f>
        <v>True</v>
      </c>
      <c r="P327" t="str">
        <f>IF((Sheet1[[#This Row],[ItemsInCart]]&gt;=Sheet1[[#This Row],[Quantity]]), "Good", "Bad")</f>
        <v>Good</v>
      </c>
      <c r="Q327" t="str">
        <f t="shared" si="25"/>
        <v>OK</v>
      </c>
      <c r="R327" t="str">
        <f t="shared" si="26"/>
        <v>GOOD</v>
      </c>
      <c r="S327">
        <f t="shared" si="27"/>
        <v>0</v>
      </c>
      <c r="T327">
        <f t="shared" si="28"/>
        <v>0</v>
      </c>
      <c r="U327" t="str">
        <f t="shared" si="29"/>
        <v>OK</v>
      </c>
    </row>
    <row r="328" spans="1:21">
      <c r="A328" t="s">
        <v>340</v>
      </c>
      <c r="B328" t="s">
        <v>4566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 t="str">
        <f>IF((Sheet1[[#This Row],[Quantity]]*Sheet1[[#This Row],[UnitPrice]])=(Sheet1[[#This Row],[TotalPrice]]), "True", "False")</f>
        <v>True</v>
      </c>
      <c r="P328" t="str">
        <f>IF((Sheet1[[#This Row],[ItemsInCart]]&gt;=Sheet1[[#This Row],[Quantity]]), "Good", "Bad")</f>
        <v>Good</v>
      </c>
      <c r="Q328" t="str">
        <f t="shared" si="25"/>
        <v>OK</v>
      </c>
      <c r="R328" t="str">
        <f t="shared" si="26"/>
        <v>GOOD</v>
      </c>
      <c r="S328">
        <f t="shared" si="27"/>
        <v>0</v>
      </c>
      <c r="T328">
        <f t="shared" si="28"/>
        <v>0</v>
      </c>
      <c r="U328" t="str">
        <f t="shared" si="29"/>
        <v>OK</v>
      </c>
    </row>
    <row r="329" spans="1:21">
      <c r="A329" t="s">
        <v>341</v>
      </c>
      <c r="B329" t="s">
        <v>4567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 t="str">
        <f>IF((Sheet1[[#This Row],[Quantity]]*Sheet1[[#This Row],[UnitPrice]])=(Sheet1[[#This Row],[TotalPrice]]), "True", "False")</f>
        <v>True</v>
      </c>
      <c r="P329" t="str">
        <f>IF((Sheet1[[#This Row],[ItemsInCart]]&gt;=Sheet1[[#This Row],[Quantity]]), "Good", "Bad")</f>
        <v>Good</v>
      </c>
      <c r="Q329" t="str">
        <f t="shared" si="25"/>
        <v>OK</v>
      </c>
      <c r="R329" t="str">
        <f t="shared" si="26"/>
        <v>BAD</v>
      </c>
      <c r="S329">
        <f t="shared" si="27"/>
        <v>0</v>
      </c>
      <c r="T329">
        <f t="shared" si="28"/>
        <v>1</v>
      </c>
      <c r="U329" t="str">
        <f t="shared" si="29"/>
        <v>REVIEW_RETURN</v>
      </c>
    </row>
    <row r="330" spans="1:21">
      <c r="A330" t="s">
        <v>342</v>
      </c>
      <c r="B330" t="s">
        <v>4568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 t="str">
        <f>IF((Sheet1[[#This Row],[Quantity]]*Sheet1[[#This Row],[UnitPrice]])=(Sheet1[[#This Row],[TotalPrice]]), "True", "False")</f>
        <v>True</v>
      </c>
      <c r="P330" t="str">
        <f>IF((Sheet1[[#This Row],[ItemsInCart]]&gt;=Sheet1[[#This Row],[Quantity]]), "Good", "Bad")</f>
        <v>Good</v>
      </c>
      <c r="Q330" t="str">
        <f t="shared" si="25"/>
        <v>OK</v>
      </c>
      <c r="R330" t="str">
        <f t="shared" si="26"/>
        <v>BAD</v>
      </c>
      <c r="S330">
        <f t="shared" si="27"/>
        <v>0</v>
      </c>
      <c r="T330">
        <f t="shared" si="28"/>
        <v>1</v>
      </c>
      <c r="U330" t="str">
        <f t="shared" si="29"/>
        <v>REVIEW_RETURN</v>
      </c>
    </row>
    <row r="331" spans="1:21">
      <c r="A331" t="s">
        <v>343</v>
      </c>
      <c r="B331" t="s">
        <v>4569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4961</v>
      </c>
      <c r="M331" t="s">
        <v>4282</v>
      </c>
      <c r="N331">
        <v>1132.6400000000001</v>
      </c>
      <c r="O331" t="str">
        <f>IF((Sheet1[[#This Row],[Quantity]]*Sheet1[[#This Row],[UnitPrice]])=(Sheet1[[#This Row],[TotalPrice]]), "True", "False")</f>
        <v>True</v>
      </c>
      <c r="P331" t="str">
        <f>IF((Sheet1[[#This Row],[ItemsInCart]]&gt;=Sheet1[[#This Row],[Quantity]]), "Good", "Bad")</f>
        <v>Good</v>
      </c>
      <c r="Q331" t="str">
        <f t="shared" si="25"/>
        <v>OK</v>
      </c>
      <c r="R331" t="str">
        <f t="shared" si="26"/>
        <v>GOOD</v>
      </c>
      <c r="S331">
        <f t="shared" si="27"/>
        <v>0</v>
      </c>
      <c r="T331">
        <f t="shared" si="28"/>
        <v>0</v>
      </c>
      <c r="U331" t="str">
        <f t="shared" si="29"/>
        <v>OK</v>
      </c>
    </row>
    <row r="332" spans="1:21">
      <c r="A332" t="s">
        <v>344</v>
      </c>
      <c r="B332" t="s">
        <v>4570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 t="str">
        <f>IF((Sheet1[[#This Row],[Quantity]]*Sheet1[[#This Row],[UnitPrice]])=(Sheet1[[#This Row],[TotalPrice]]), "True", "False")</f>
        <v>True</v>
      </c>
      <c r="P332" t="str">
        <f>IF((Sheet1[[#This Row],[ItemsInCart]]&gt;=Sheet1[[#This Row],[Quantity]]), "Good", "Bad")</f>
        <v>Good</v>
      </c>
      <c r="Q332" t="str">
        <f t="shared" si="25"/>
        <v>OK</v>
      </c>
      <c r="R332" t="str">
        <f t="shared" si="26"/>
        <v>BAD</v>
      </c>
      <c r="S332">
        <f t="shared" si="27"/>
        <v>0</v>
      </c>
      <c r="T332">
        <f t="shared" si="28"/>
        <v>1</v>
      </c>
      <c r="U332" t="str">
        <f t="shared" si="29"/>
        <v>DOCUMENTED</v>
      </c>
    </row>
    <row r="333" spans="1:21">
      <c r="A333" t="s">
        <v>345</v>
      </c>
      <c r="B333" t="s">
        <v>4571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 t="str">
        <f>IF((Sheet1[[#This Row],[Quantity]]*Sheet1[[#This Row],[UnitPrice]])=(Sheet1[[#This Row],[TotalPrice]]), "True", "False")</f>
        <v>True</v>
      </c>
      <c r="P333" t="str">
        <f>IF((Sheet1[[#This Row],[ItemsInCart]]&gt;=Sheet1[[#This Row],[Quantity]]), "Good", "Bad")</f>
        <v>Good</v>
      </c>
      <c r="Q333" t="str">
        <f t="shared" si="25"/>
        <v>OK</v>
      </c>
      <c r="R333" t="str">
        <f t="shared" si="26"/>
        <v>GOOD</v>
      </c>
      <c r="S333">
        <f t="shared" si="27"/>
        <v>0</v>
      </c>
      <c r="T333">
        <f t="shared" si="28"/>
        <v>0</v>
      </c>
      <c r="U333" t="str">
        <f t="shared" si="29"/>
        <v>OK</v>
      </c>
    </row>
    <row r="334" spans="1:21">
      <c r="A334" t="s">
        <v>346</v>
      </c>
      <c r="B334" t="s">
        <v>4572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 t="str">
        <f>IF((Sheet1[[#This Row],[Quantity]]*Sheet1[[#This Row],[UnitPrice]])=(Sheet1[[#This Row],[TotalPrice]]), "True", "False")</f>
        <v>True</v>
      </c>
      <c r="P334" t="str">
        <f>IF((Sheet1[[#This Row],[ItemsInCart]]&gt;=Sheet1[[#This Row],[Quantity]]), "Good", "Bad")</f>
        <v>Good</v>
      </c>
      <c r="Q334" t="str">
        <f t="shared" si="25"/>
        <v>OK</v>
      </c>
      <c r="R334" t="str">
        <f t="shared" si="26"/>
        <v>BAD</v>
      </c>
      <c r="S334">
        <f t="shared" si="27"/>
        <v>0</v>
      </c>
      <c r="T334">
        <f t="shared" si="28"/>
        <v>1</v>
      </c>
      <c r="U334" t="str">
        <f t="shared" si="29"/>
        <v>DOCUMENTED</v>
      </c>
    </row>
    <row r="335" spans="1:21">
      <c r="A335" t="s">
        <v>347</v>
      </c>
      <c r="B335" t="s">
        <v>4445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 t="str">
        <f>IF((Sheet1[[#This Row],[Quantity]]*Sheet1[[#This Row],[UnitPrice]])=(Sheet1[[#This Row],[TotalPrice]]), "True", "False")</f>
        <v>True</v>
      </c>
      <c r="P335" t="str">
        <f>IF((Sheet1[[#This Row],[ItemsInCart]]&gt;=Sheet1[[#This Row],[Quantity]]), "Good", "Bad")</f>
        <v>Good</v>
      </c>
      <c r="Q335" t="str">
        <f t="shared" si="25"/>
        <v>OK</v>
      </c>
      <c r="R335" t="str">
        <f t="shared" si="26"/>
        <v>GOOD</v>
      </c>
      <c r="S335">
        <f t="shared" si="27"/>
        <v>0</v>
      </c>
      <c r="T335">
        <f t="shared" si="28"/>
        <v>0</v>
      </c>
      <c r="U335" t="str">
        <f t="shared" si="29"/>
        <v>OK</v>
      </c>
    </row>
    <row r="336" spans="1:21">
      <c r="A336" t="s">
        <v>348</v>
      </c>
      <c r="B336" t="s">
        <v>4573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 t="str">
        <f>IF((Sheet1[[#This Row],[Quantity]]*Sheet1[[#This Row],[UnitPrice]])=(Sheet1[[#This Row],[TotalPrice]]), "True", "False")</f>
        <v>True</v>
      </c>
      <c r="P336" t="str">
        <f>IF((Sheet1[[#This Row],[ItemsInCart]]&gt;=Sheet1[[#This Row],[Quantity]]), "Good", "Bad")</f>
        <v>Good</v>
      </c>
      <c r="Q336" t="str">
        <f t="shared" si="25"/>
        <v>OK</v>
      </c>
      <c r="R336" t="str">
        <f t="shared" si="26"/>
        <v>GOOD</v>
      </c>
      <c r="S336">
        <f t="shared" si="27"/>
        <v>0</v>
      </c>
      <c r="T336">
        <f t="shared" si="28"/>
        <v>0</v>
      </c>
      <c r="U336" t="str">
        <f t="shared" si="29"/>
        <v>OK</v>
      </c>
    </row>
    <row r="337" spans="1:21">
      <c r="A337" t="s">
        <v>349</v>
      </c>
      <c r="B337" t="s">
        <v>4574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4961</v>
      </c>
      <c r="M337" t="s">
        <v>4280</v>
      </c>
      <c r="N337">
        <v>617.58000000000004</v>
      </c>
      <c r="O337" t="str">
        <f>IF((Sheet1[[#This Row],[Quantity]]*Sheet1[[#This Row],[UnitPrice]])=(Sheet1[[#This Row],[TotalPrice]]), "True", "False")</f>
        <v>True</v>
      </c>
      <c r="P337" t="str">
        <f>IF((Sheet1[[#This Row],[ItemsInCart]]&gt;=Sheet1[[#This Row],[Quantity]]), "Good", "Bad")</f>
        <v>Good</v>
      </c>
      <c r="Q337" t="str">
        <f t="shared" si="25"/>
        <v>OK</v>
      </c>
      <c r="R337" t="str">
        <f t="shared" si="26"/>
        <v>GOOD</v>
      </c>
      <c r="S337">
        <f t="shared" si="27"/>
        <v>0</v>
      </c>
      <c r="T337">
        <f t="shared" si="28"/>
        <v>0</v>
      </c>
      <c r="U337" t="str">
        <f t="shared" si="29"/>
        <v>OK</v>
      </c>
    </row>
    <row r="338" spans="1:21">
      <c r="A338" t="s">
        <v>350</v>
      </c>
      <c r="B338" t="s">
        <v>4293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 t="str">
        <f>IF((Sheet1[[#This Row],[Quantity]]*Sheet1[[#This Row],[UnitPrice]])=(Sheet1[[#This Row],[TotalPrice]]), "True", "False")</f>
        <v>True</v>
      </c>
      <c r="P338" t="str">
        <f>IF((Sheet1[[#This Row],[ItemsInCart]]&gt;=Sheet1[[#This Row],[Quantity]]), "Good", "Bad")</f>
        <v>Good</v>
      </c>
      <c r="Q338" t="str">
        <f t="shared" si="25"/>
        <v>OK</v>
      </c>
      <c r="R338" t="str">
        <f t="shared" si="26"/>
        <v>BAD</v>
      </c>
      <c r="S338">
        <f t="shared" si="27"/>
        <v>0</v>
      </c>
      <c r="T338">
        <f t="shared" si="28"/>
        <v>1</v>
      </c>
      <c r="U338" t="str">
        <f t="shared" si="29"/>
        <v>DOCUMENTED</v>
      </c>
    </row>
    <row r="339" spans="1:21">
      <c r="A339" t="s">
        <v>351</v>
      </c>
      <c r="B339" t="s">
        <v>4575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 t="str">
        <f>IF((Sheet1[[#This Row],[Quantity]]*Sheet1[[#This Row],[UnitPrice]])=(Sheet1[[#This Row],[TotalPrice]]), "True", "False")</f>
        <v>True</v>
      </c>
      <c r="P339" t="str">
        <f>IF((Sheet1[[#This Row],[ItemsInCart]]&gt;=Sheet1[[#This Row],[Quantity]]), "Good", "Bad")</f>
        <v>Good</v>
      </c>
      <c r="Q339" t="str">
        <f t="shared" si="25"/>
        <v>OK</v>
      </c>
      <c r="R339" t="str">
        <f t="shared" si="26"/>
        <v>GOOD</v>
      </c>
      <c r="S339">
        <f t="shared" si="27"/>
        <v>0</v>
      </c>
      <c r="T339">
        <f t="shared" si="28"/>
        <v>0</v>
      </c>
      <c r="U339" t="str">
        <f t="shared" si="29"/>
        <v>OK</v>
      </c>
    </row>
    <row r="340" spans="1:21">
      <c r="A340" t="s">
        <v>352</v>
      </c>
      <c r="B340" t="s">
        <v>4576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4961</v>
      </c>
      <c r="M340" t="s">
        <v>4279</v>
      </c>
      <c r="N340">
        <v>1527.45</v>
      </c>
      <c r="O340" t="str">
        <f>IF((Sheet1[[#This Row],[Quantity]]*Sheet1[[#This Row],[UnitPrice]])=(Sheet1[[#This Row],[TotalPrice]]), "True", "False")</f>
        <v>True</v>
      </c>
      <c r="P340" t="str">
        <f>IF((Sheet1[[#This Row],[ItemsInCart]]&gt;=Sheet1[[#This Row],[Quantity]]), "Good", "Bad")</f>
        <v>Good</v>
      </c>
      <c r="Q340" t="str">
        <f t="shared" si="25"/>
        <v>OK</v>
      </c>
      <c r="R340" t="str">
        <f t="shared" si="26"/>
        <v>GOOD</v>
      </c>
      <c r="S340">
        <f t="shared" si="27"/>
        <v>0</v>
      </c>
      <c r="T340">
        <f t="shared" si="28"/>
        <v>0</v>
      </c>
      <c r="U340" t="str">
        <f t="shared" si="29"/>
        <v>OK</v>
      </c>
    </row>
    <row r="341" spans="1:21">
      <c r="A341" t="s">
        <v>353</v>
      </c>
      <c r="B341" t="s">
        <v>4577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 t="str">
        <f>IF((Sheet1[[#This Row],[Quantity]]*Sheet1[[#This Row],[UnitPrice]])=(Sheet1[[#This Row],[TotalPrice]]), "True", "False")</f>
        <v>True</v>
      </c>
      <c r="P341" t="str">
        <f>IF((Sheet1[[#This Row],[ItemsInCart]]&gt;=Sheet1[[#This Row],[Quantity]]), "Good", "Bad")</f>
        <v>Good</v>
      </c>
      <c r="Q341" t="str">
        <f t="shared" si="25"/>
        <v>OK</v>
      </c>
      <c r="R341" t="str">
        <f t="shared" si="26"/>
        <v>BAD</v>
      </c>
      <c r="S341">
        <f t="shared" si="27"/>
        <v>0</v>
      </c>
      <c r="T341">
        <f t="shared" si="28"/>
        <v>1</v>
      </c>
      <c r="U341" t="str">
        <f t="shared" si="29"/>
        <v>DOCUMENTED</v>
      </c>
    </row>
    <row r="342" spans="1:21">
      <c r="A342" t="s">
        <v>354</v>
      </c>
      <c r="B342" t="s">
        <v>4578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4961</v>
      </c>
      <c r="M342" t="s">
        <v>4280</v>
      </c>
      <c r="N342">
        <v>2606.25</v>
      </c>
      <c r="O342" t="str">
        <f>IF((Sheet1[[#This Row],[Quantity]]*Sheet1[[#This Row],[UnitPrice]])=(Sheet1[[#This Row],[TotalPrice]]), "True", "False")</f>
        <v>True</v>
      </c>
      <c r="P342" t="str">
        <f>IF((Sheet1[[#This Row],[ItemsInCart]]&gt;=Sheet1[[#This Row],[Quantity]]), "Good", "Bad")</f>
        <v>Good</v>
      </c>
      <c r="Q342" t="str">
        <f t="shared" si="25"/>
        <v>OK</v>
      </c>
      <c r="R342" t="str">
        <f t="shared" si="26"/>
        <v>BAD</v>
      </c>
      <c r="S342">
        <f t="shared" si="27"/>
        <v>0</v>
      </c>
      <c r="T342">
        <f t="shared" si="28"/>
        <v>1</v>
      </c>
      <c r="U342" t="str">
        <f t="shared" si="29"/>
        <v>REVIEW_RETURN</v>
      </c>
    </row>
    <row r="343" spans="1:21">
      <c r="A343" t="s">
        <v>355</v>
      </c>
      <c r="B343" t="s">
        <v>4579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 t="str">
        <f>IF((Sheet1[[#This Row],[Quantity]]*Sheet1[[#This Row],[UnitPrice]])=(Sheet1[[#This Row],[TotalPrice]]), "True", "False")</f>
        <v>True</v>
      </c>
      <c r="P343" t="str">
        <f>IF((Sheet1[[#This Row],[ItemsInCart]]&gt;=Sheet1[[#This Row],[Quantity]]), "Good", "Bad")</f>
        <v>Good</v>
      </c>
      <c r="Q343" t="str">
        <f t="shared" si="25"/>
        <v>OK</v>
      </c>
      <c r="R343" t="str">
        <f t="shared" si="26"/>
        <v>GOOD</v>
      </c>
      <c r="S343">
        <f t="shared" si="27"/>
        <v>0</v>
      </c>
      <c r="T343">
        <f t="shared" si="28"/>
        <v>0</v>
      </c>
      <c r="U343" t="str">
        <f t="shared" si="29"/>
        <v>OK</v>
      </c>
    </row>
    <row r="344" spans="1:21">
      <c r="A344" t="s">
        <v>356</v>
      </c>
      <c r="B344" t="s">
        <v>4336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4961</v>
      </c>
      <c r="M344" t="s">
        <v>4279</v>
      </c>
      <c r="N344">
        <v>2332.1</v>
      </c>
      <c r="O344" t="str">
        <f>IF((Sheet1[[#This Row],[Quantity]]*Sheet1[[#This Row],[UnitPrice]])=(Sheet1[[#This Row],[TotalPrice]]), "True", "False")</f>
        <v>True</v>
      </c>
      <c r="P344" t="str">
        <f>IF((Sheet1[[#This Row],[ItemsInCart]]&gt;=Sheet1[[#This Row],[Quantity]]), "Good", "Bad")</f>
        <v>Good</v>
      </c>
      <c r="Q344" t="str">
        <f t="shared" si="25"/>
        <v>OK</v>
      </c>
      <c r="R344" t="str">
        <f t="shared" si="26"/>
        <v>GOOD</v>
      </c>
      <c r="S344">
        <f t="shared" si="27"/>
        <v>0</v>
      </c>
      <c r="T344">
        <f t="shared" si="28"/>
        <v>0</v>
      </c>
      <c r="U344" t="str">
        <f t="shared" si="29"/>
        <v>OK</v>
      </c>
    </row>
    <row r="345" spans="1:21">
      <c r="A345" t="s">
        <v>357</v>
      </c>
      <c r="B345" t="s">
        <v>4580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 t="str">
        <f>IF((Sheet1[[#This Row],[Quantity]]*Sheet1[[#This Row],[UnitPrice]])=(Sheet1[[#This Row],[TotalPrice]]), "True", "False")</f>
        <v>True</v>
      </c>
      <c r="P345" t="str">
        <f>IF((Sheet1[[#This Row],[ItemsInCart]]&gt;=Sheet1[[#This Row],[Quantity]]), "Good", "Bad")</f>
        <v>Good</v>
      </c>
      <c r="Q345" t="str">
        <f t="shared" si="25"/>
        <v>OK</v>
      </c>
      <c r="R345" t="str">
        <f t="shared" si="26"/>
        <v>BAD</v>
      </c>
      <c r="S345">
        <f t="shared" si="27"/>
        <v>0</v>
      </c>
      <c r="T345">
        <f t="shared" si="28"/>
        <v>1</v>
      </c>
      <c r="U345" t="str">
        <f t="shared" si="29"/>
        <v>DOCUMENTED</v>
      </c>
    </row>
    <row r="346" spans="1:21">
      <c r="A346" t="s">
        <v>358</v>
      </c>
      <c r="B346" t="s">
        <v>4581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 t="str">
        <f>IF((Sheet1[[#This Row],[Quantity]]*Sheet1[[#This Row],[UnitPrice]])=(Sheet1[[#This Row],[TotalPrice]]), "True", "False")</f>
        <v>True</v>
      </c>
      <c r="P346" t="str">
        <f>IF((Sheet1[[#This Row],[ItemsInCart]]&gt;=Sheet1[[#This Row],[Quantity]]), "Good", "Bad")</f>
        <v>Good</v>
      </c>
      <c r="Q346" t="str">
        <f t="shared" si="25"/>
        <v>OK</v>
      </c>
      <c r="R346" t="str">
        <f t="shared" si="26"/>
        <v>BAD</v>
      </c>
      <c r="S346">
        <f t="shared" si="27"/>
        <v>0</v>
      </c>
      <c r="T346">
        <f t="shared" si="28"/>
        <v>1</v>
      </c>
      <c r="U346" t="str">
        <f t="shared" si="29"/>
        <v>REVIEW_RETURN</v>
      </c>
    </row>
    <row r="347" spans="1:21">
      <c r="A347" t="s">
        <v>359</v>
      </c>
      <c r="B347" t="s">
        <v>4456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 t="str">
        <f>IF((Sheet1[[#This Row],[Quantity]]*Sheet1[[#This Row],[UnitPrice]])=(Sheet1[[#This Row],[TotalPrice]]), "True", "False")</f>
        <v>True</v>
      </c>
      <c r="P347" t="str">
        <f>IF((Sheet1[[#This Row],[ItemsInCart]]&gt;=Sheet1[[#This Row],[Quantity]]), "Good", "Bad")</f>
        <v>Good</v>
      </c>
      <c r="Q347" t="str">
        <f t="shared" si="25"/>
        <v>OK</v>
      </c>
      <c r="R347" t="str">
        <f t="shared" si="26"/>
        <v>GOOD</v>
      </c>
      <c r="S347">
        <f t="shared" si="27"/>
        <v>0</v>
      </c>
      <c r="T347">
        <f t="shared" si="28"/>
        <v>0</v>
      </c>
      <c r="U347" t="str">
        <f t="shared" si="29"/>
        <v>OK</v>
      </c>
    </row>
    <row r="348" spans="1:21">
      <c r="A348" t="s">
        <v>360</v>
      </c>
      <c r="B348" t="s">
        <v>4582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4961</v>
      </c>
      <c r="M348" t="s">
        <v>4279</v>
      </c>
      <c r="N348">
        <v>655.09</v>
      </c>
      <c r="O348" t="str">
        <f>IF((Sheet1[[#This Row],[Quantity]]*Sheet1[[#This Row],[UnitPrice]])=(Sheet1[[#This Row],[TotalPrice]]), "True", "False")</f>
        <v>True</v>
      </c>
      <c r="P348" t="str">
        <f>IF((Sheet1[[#This Row],[ItemsInCart]]&gt;=Sheet1[[#This Row],[Quantity]]), "Good", "Bad")</f>
        <v>Good</v>
      </c>
      <c r="Q348" t="str">
        <f t="shared" si="25"/>
        <v>OK</v>
      </c>
      <c r="R348" t="str">
        <f t="shared" si="26"/>
        <v>BAD</v>
      </c>
      <c r="S348">
        <f t="shared" si="27"/>
        <v>0</v>
      </c>
      <c r="T348">
        <f t="shared" si="28"/>
        <v>1</v>
      </c>
      <c r="U348" t="str">
        <f t="shared" si="29"/>
        <v>DOCUMENTED</v>
      </c>
    </row>
    <row r="349" spans="1:21">
      <c r="A349" t="s">
        <v>361</v>
      </c>
      <c r="B349" t="s">
        <v>4583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 t="str">
        <f>IF((Sheet1[[#This Row],[Quantity]]*Sheet1[[#This Row],[UnitPrice]])=(Sheet1[[#This Row],[TotalPrice]]), "True", "False")</f>
        <v>True</v>
      </c>
      <c r="P349" t="str">
        <f>IF((Sheet1[[#This Row],[ItemsInCart]]&gt;=Sheet1[[#This Row],[Quantity]]), "Good", "Bad")</f>
        <v>Good</v>
      </c>
      <c r="Q349" t="str">
        <f t="shared" si="25"/>
        <v>OK</v>
      </c>
      <c r="R349" t="str">
        <f t="shared" si="26"/>
        <v>BAD</v>
      </c>
      <c r="S349">
        <f t="shared" si="27"/>
        <v>0</v>
      </c>
      <c r="T349">
        <f t="shared" si="28"/>
        <v>1</v>
      </c>
      <c r="U349" t="str">
        <f t="shared" si="29"/>
        <v>DOCUMENTED</v>
      </c>
    </row>
    <row r="350" spans="1:21">
      <c r="A350" t="s">
        <v>362</v>
      </c>
      <c r="B350" t="s">
        <v>4489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 t="str">
        <f>IF((Sheet1[[#This Row],[Quantity]]*Sheet1[[#This Row],[UnitPrice]])=(Sheet1[[#This Row],[TotalPrice]]), "True", "False")</f>
        <v>True</v>
      </c>
      <c r="P350" t="str">
        <f>IF((Sheet1[[#This Row],[ItemsInCart]]&gt;=Sheet1[[#This Row],[Quantity]]), "Good", "Bad")</f>
        <v>Good</v>
      </c>
      <c r="Q350" t="str">
        <f t="shared" si="25"/>
        <v>OK</v>
      </c>
      <c r="R350" t="str">
        <f t="shared" si="26"/>
        <v>GOOD</v>
      </c>
      <c r="S350">
        <f t="shared" si="27"/>
        <v>0</v>
      </c>
      <c r="T350">
        <f t="shared" si="28"/>
        <v>0</v>
      </c>
      <c r="U350" t="str">
        <f t="shared" si="29"/>
        <v>OK</v>
      </c>
    </row>
    <row r="351" spans="1:21">
      <c r="A351" t="s">
        <v>363</v>
      </c>
      <c r="B351" t="s">
        <v>4398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 t="str">
        <f>IF((Sheet1[[#This Row],[Quantity]]*Sheet1[[#This Row],[UnitPrice]])=(Sheet1[[#This Row],[TotalPrice]]), "True", "False")</f>
        <v>True</v>
      </c>
      <c r="P351" t="str">
        <f>IF((Sheet1[[#This Row],[ItemsInCart]]&gt;=Sheet1[[#This Row],[Quantity]]), "Good", "Bad")</f>
        <v>Good</v>
      </c>
      <c r="Q351" t="str">
        <f t="shared" si="25"/>
        <v>OK</v>
      </c>
      <c r="R351" t="str">
        <f t="shared" si="26"/>
        <v>GOOD</v>
      </c>
      <c r="S351">
        <f t="shared" si="27"/>
        <v>0</v>
      </c>
      <c r="T351">
        <f t="shared" si="28"/>
        <v>0</v>
      </c>
      <c r="U351" t="str">
        <f t="shared" si="29"/>
        <v>OK</v>
      </c>
    </row>
    <row r="352" spans="1:21">
      <c r="A352" t="s">
        <v>364</v>
      </c>
      <c r="B352" t="s">
        <v>4584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4961</v>
      </c>
      <c r="M352" t="s">
        <v>4278</v>
      </c>
      <c r="N352">
        <v>108.82</v>
      </c>
      <c r="O352" t="str">
        <f>IF((Sheet1[[#This Row],[Quantity]]*Sheet1[[#This Row],[UnitPrice]])=(Sheet1[[#This Row],[TotalPrice]]), "True", "False")</f>
        <v>True</v>
      </c>
      <c r="P352" t="str">
        <f>IF((Sheet1[[#This Row],[ItemsInCart]]&gt;=Sheet1[[#This Row],[Quantity]]), "Good", "Bad")</f>
        <v>Good</v>
      </c>
      <c r="Q352" t="str">
        <f t="shared" si="25"/>
        <v>OK</v>
      </c>
      <c r="R352" t="str">
        <f t="shared" si="26"/>
        <v>GOOD</v>
      </c>
      <c r="S352">
        <f t="shared" si="27"/>
        <v>0</v>
      </c>
      <c r="T352">
        <f t="shared" si="28"/>
        <v>0</v>
      </c>
      <c r="U352" t="str">
        <f t="shared" si="29"/>
        <v>OK</v>
      </c>
    </row>
    <row r="353" spans="1:21">
      <c r="A353" t="s">
        <v>365</v>
      </c>
      <c r="B353" t="s">
        <v>4585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4961</v>
      </c>
      <c r="M353" t="s">
        <v>4278</v>
      </c>
      <c r="N353">
        <v>64.66</v>
      </c>
      <c r="O353" t="str">
        <f>IF((Sheet1[[#This Row],[Quantity]]*Sheet1[[#This Row],[UnitPrice]])=(Sheet1[[#This Row],[TotalPrice]]), "True", "False")</f>
        <v>True</v>
      </c>
      <c r="P353" t="str">
        <f>IF((Sheet1[[#This Row],[ItemsInCart]]&gt;=Sheet1[[#This Row],[Quantity]]), "Good", "Bad")</f>
        <v>Good</v>
      </c>
      <c r="Q353" t="str">
        <f t="shared" si="25"/>
        <v>OK</v>
      </c>
      <c r="R353" t="str">
        <f t="shared" si="26"/>
        <v>GOOD</v>
      </c>
      <c r="S353">
        <f t="shared" si="27"/>
        <v>0</v>
      </c>
      <c r="T353">
        <f t="shared" si="28"/>
        <v>0</v>
      </c>
      <c r="U353" t="str">
        <f t="shared" si="29"/>
        <v>OK</v>
      </c>
    </row>
    <row r="354" spans="1:21">
      <c r="A354" t="s">
        <v>366</v>
      </c>
      <c r="B354" t="s">
        <v>4586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 t="str">
        <f>IF((Sheet1[[#This Row],[Quantity]]*Sheet1[[#This Row],[UnitPrice]])=(Sheet1[[#This Row],[TotalPrice]]), "True", "False")</f>
        <v>True</v>
      </c>
      <c r="P354" t="str">
        <f>IF((Sheet1[[#This Row],[ItemsInCart]]&gt;=Sheet1[[#This Row],[Quantity]]), "Good", "Bad")</f>
        <v>Good</v>
      </c>
      <c r="Q354" t="str">
        <f t="shared" si="25"/>
        <v>OK</v>
      </c>
      <c r="R354" t="str">
        <f t="shared" si="26"/>
        <v>BAD</v>
      </c>
      <c r="S354">
        <f t="shared" si="27"/>
        <v>0</v>
      </c>
      <c r="T354">
        <f t="shared" si="28"/>
        <v>1</v>
      </c>
      <c r="U354" t="str">
        <f t="shared" si="29"/>
        <v>DOCUMENTED</v>
      </c>
    </row>
    <row r="355" spans="1:21">
      <c r="A355" t="s">
        <v>367</v>
      </c>
      <c r="B355" t="s">
        <v>4493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 t="str">
        <f>IF((Sheet1[[#This Row],[Quantity]]*Sheet1[[#This Row],[UnitPrice]])=(Sheet1[[#This Row],[TotalPrice]]), "True", "False")</f>
        <v>True</v>
      </c>
      <c r="P355" t="str">
        <f>IF((Sheet1[[#This Row],[ItemsInCart]]&gt;=Sheet1[[#This Row],[Quantity]]), "Good", "Bad")</f>
        <v>Good</v>
      </c>
      <c r="Q355" t="str">
        <f t="shared" si="25"/>
        <v>OK</v>
      </c>
      <c r="R355" t="str">
        <f t="shared" si="26"/>
        <v>GOOD</v>
      </c>
      <c r="S355">
        <f t="shared" si="27"/>
        <v>0</v>
      </c>
      <c r="T355">
        <f t="shared" si="28"/>
        <v>0</v>
      </c>
      <c r="U355" t="str">
        <f t="shared" si="29"/>
        <v>OK</v>
      </c>
    </row>
    <row r="356" spans="1:21">
      <c r="A356" t="s">
        <v>368</v>
      </c>
      <c r="B356" t="s">
        <v>4587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4961</v>
      </c>
      <c r="M356" t="s">
        <v>4278</v>
      </c>
      <c r="N356">
        <v>693.41</v>
      </c>
      <c r="O356" t="str">
        <f>IF((Sheet1[[#This Row],[Quantity]]*Sheet1[[#This Row],[UnitPrice]])=(Sheet1[[#This Row],[TotalPrice]]), "True", "False")</f>
        <v>True</v>
      </c>
      <c r="P356" t="str">
        <f>IF((Sheet1[[#This Row],[ItemsInCart]]&gt;=Sheet1[[#This Row],[Quantity]]), "Good", "Bad")</f>
        <v>Good</v>
      </c>
      <c r="Q356" t="str">
        <f t="shared" si="25"/>
        <v>OK</v>
      </c>
      <c r="R356" t="str">
        <f t="shared" si="26"/>
        <v>GOOD</v>
      </c>
      <c r="S356">
        <f t="shared" si="27"/>
        <v>0</v>
      </c>
      <c r="T356">
        <f t="shared" si="28"/>
        <v>0</v>
      </c>
      <c r="U356" t="str">
        <f t="shared" si="29"/>
        <v>OK</v>
      </c>
    </row>
    <row r="357" spans="1:21">
      <c r="A357" t="s">
        <v>369</v>
      </c>
      <c r="B357" t="s">
        <v>4588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 t="str">
        <f>IF((Sheet1[[#This Row],[Quantity]]*Sheet1[[#This Row],[UnitPrice]])=(Sheet1[[#This Row],[TotalPrice]]), "True", "False")</f>
        <v>True</v>
      </c>
      <c r="P357" t="str">
        <f>IF((Sheet1[[#This Row],[ItemsInCart]]&gt;=Sheet1[[#This Row],[Quantity]]), "Good", "Bad")</f>
        <v>Good</v>
      </c>
      <c r="Q357" t="str">
        <f t="shared" si="25"/>
        <v>OK</v>
      </c>
      <c r="R357" t="str">
        <f t="shared" si="26"/>
        <v>BAD</v>
      </c>
      <c r="S357">
        <f t="shared" si="27"/>
        <v>0</v>
      </c>
      <c r="T357">
        <f t="shared" si="28"/>
        <v>1</v>
      </c>
      <c r="U357" t="str">
        <f t="shared" si="29"/>
        <v>REVIEW_RETURN</v>
      </c>
    </row>
    <row r="358" spans="1:21">
      <c r="A358" t="s">
        <v>370</v>
      </c>
      <c r="B358" t="s">
        <v>4589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 t="str">
        <f>IF((Sheet1[[#This Row],[Quantity]]*Sheet1[[#This Row],[UnitPrice]])=(Sheet1[[#This Row],[TotalPrice]]), "True", "False")</f>
        <v>True</v>
      </c>
      <c r="P358" t="str">
        <f>IF((Sheet1[[#This Row],[ItemsInCart]]&gt;=Sheet1[[#This Row],[Quantity]]), "Good", "Bad")</f>
        <v>Good</v>
      </c>
      <c r="Q358" t="str">
        <f t="shared" si="25"/>
        <v>OK</v>
      </c>
      <c r="R358" t="str">
        <f t="shared" si="26"/>
        <v>BAD</v>
      </c>
      <c r="S358">
        <f t="shared" si="27"/>
        <v>0</v>
      </c>
      <c r="T358">
        <f t="shared" si="28"/>
        <v>1</v>
      </c>
      <c r="U358" t="str">
        <f t="shared" si="29"/>
        <v>REVIEW_RETURN</v>
      </c>
    </row>
    <row r="359" spans="1:21">
      <c r="A359" t="s">
        <v>371</v>
      </c>
      <c r="B359" t="s">
        <v>4590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 t="str">
        <f>IF((Sheet1[[#This Row],[Quantity]]*Sheet1[[#This Row],[UnitPrice]])=(Sheet1[[#This Row],[TotalPrice]]), "True", "False")</f>
        <v>True</v>
      </c>
      <c r="P359" t="str">
        <f>IF((Sheet1[[#This Row],[ItemsInCart]]&gt;=Sheet1[[#This Row],[Quantity]]), "Good", "Bad")</f>
        <v>Good</v>
      </c>
      <c r="Q359" t="str">
        <f t="shared" si="25"/>
        <v>OK</v>
      </c>
      <c r="R359" t="str">
        <f t="shared" si="26"/>
        <v>GOOD</v>
      </c>
      <c r="S359">
        <f t="shared" si="27"/>
        <v>0</v>
      </c>
      <c r="T359">
        <f t="shared" si="28"/>
        <v>0</v>
      </c>
      <c r="U359" t="str">
        <f t="shared" si="29"/>
        <v>OK</v>
      </c>
    </row>
    <row r="360" spans="1:21">
      <c r="A360" t="s">
        <v>372</v>
      </c>
      <c r="B360" t="s">
        <v>4441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 t="str">
        <f>IF((Sheet1[[#This Row],[Quantity]]*Sheet1[[#This Row],[UnitPrice]])=(Sheet1[[#This Row],[TotalPrice]]), "True", "False")</f>
        <v>True</v>
      </c>
      <c r="P360" t="str">
        <f>IF((Sheet1[[#This Row],[ItemsInCart]]&gt;=Sheet1[[#This Row],[Quantity]]), "Good", "Bad")</f>
        <v>Good</v>
      </c>
      <c r="Q360" t="str">
        <f t="shared" si="25"/>
        <v>OK</v>
      </c>
      <c r="R360" t="str">
        <f t="shared" si="26"/>
        <v>BAD</v>
      </c>
      <c r="S360">
        <f t="shared" si="27"/>
        <v>0</v>
      </c>
      <c r="T360">
        <f t="shared" si="28"/>
        <v>1</v>
      </c>
      <c r="U360" t="str">
        <f t="shared" si="29"/>
        <v>REVIEW_RETURN</v>
      </c>
    </row>
    <row r="361" spans="1:21">
      <c r="A361" t="s">
        <v>373</v>
      </c>
      <c r="B361" t="s">
        <v>4591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 t="str">
        <f>IF((Sheet1[[#This Row],[Quantity]]*Sheet1[[#This Row],[UnitPrice]])=(Sheet1[[#This Row],[TotalPrice]]), "True", "False")</f>
        <v>True</v>
      </c>
      <c r="P361" t="str">
        <f>IF((Sheet1[[#This Row],[ItemsInCart]]&gt;=Sheet1[[#This Row],[Quantity]]), "Good", "Bad")</f>
        <v>Good</v>
      </c>
      <c r="Q361" t="str">
        <f t="shared" si="25"/>
        <v>OK</v>
      </c>
      <c r="R361" t="str">
        <f t="shared" si="26"/>
        <v>GOOD</v>
      </c>
      <c r="S361">
        <f t="shared" si="27"/>
        <v>0</v>
      </c>
      <c r="T361">
        <f t="shared" si="28"/>
        <v>0</v>
      </c>
      <c r="U361" t="str">
        <f t="shared" si="29"/>
        <v>OK</v>
      </c>
    </row>
    <row r="362" spans="1:21">
      <c r="A362" t="s">
        <v>374</v>
      </c>
      <c r="B362" t="s">
        <v>4592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4961</v>
      </c>
      <c r="M362" t="s">
        <v>4278</v>
      </c>
      <c r="N362">
        <v>2358.2800000000002</v>
      </c>
      <c r="O362" t="str">
        <f>IF((Sheet1[[#This Row],[Quantity]]*Sheet1[[#This Row],[UnitPrice]])=(Sheet1[[#This Row],[TotalPrice]]), "True", "False")</f>
        <v>True</v>
      </c>
      <c r="P362" t="str">
        <f>IF((Sheet1[[#This Row],[ItemsInCart]]&gt;=Sheet1[[#This Row],[Quantity]]), "Good", "Bad")</f>
        <v>Good</v>
      </c>
      <c r="Q362" t="str">
        <f t="shared" si="25"/>
        <v>OK</v>
      </c>
      <c r="R362" t="str">
        <f t="shared" si="26"/>
        <v>BAD</v>
      </c>
      <c r="S362">
        <f t="shared" si="27"/>
        <v>0</v>
      </c>
      <c r="T362">
        <f t="shared" si="28"/>
        <v>1</v>
      </c>
      <c r="U362" t="str">
        <f t="shared" si="29"/>
        <v>DOCUMENTED</v>
      </c>
    </row>
    <row r="363" spans="1:21">
      <c r="A363" t="s">
        <v>375</v>
      </c>
      <c r="B363" t="s">
        <v>4593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 t="str">
        <f>IF((Sheet1[[#This Row],[Quantity]]*Sheet1[[#This Row],[UnitPrice]])=(Sheet1[[#This Row],[TotalPrice]]), "True", "False")</f>
        <v>True</v>
      </c>
      <c r="P363" t="str">
        <f>IF((Sheet1[[#This Row],[ItemsInCart]]&gt;=Sheet1[[#This Row],[Quantity]]), "Good", "Bad")</f>
        <v>Good</v>
      </c>
      <c r="Q363" t="str">
        <f t="shared" si="25"/>
        <v>OK</v>
      </c>
      <c r="R363" t="str">
        <f t="shared" si="26"/>
        <v>GOOD</v>
      </c>
      <c r="S363">
        <f t="shared" si="27"/>
        <v>0</v>
      </c>
      <c r="T363">
        <f t="shared" si="28"/>
        <v>0</v>
      </c>
      <c r="U363" t="str">
        <f t="shared" si="29"/>
        <v>OK</v>
      </c>
    </row>
    <row r="364" spans="1:21">
      <c r="A364" t="s">
        <v>376</v>
      </c>
      <c r="B364" t="s">
        <v>4361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 t="str">
        <f>IF((Sheet1[[#This Row],[Quantity]]*Sheet1[[#This Row],[UnitPrice]])=(Sheet1[[#This Row],[TotalPrice]]), "True", "False")</f>
        <v>True</v>
      </c>
      <c r="P364" t="str">
        <f>IF((Sheet1[[#This Row],[ItemsInCart]]&gt;=Sheet1[[#This Row],[Quantity]]), "Good", "Bad")</f>
        <v>Good</v>
      </c>
      <c r="Q364" t="str">
        <f t="shared" si="25"/>
        <v>OK</v>
      </c>
      <c r="R364" t="str">
        <f t="shared" si="26"/>
        <v>BAD</v>
      </c>
      <c r="S364">
        <f t="shared" si="27"/>
        <v>0</v>
      </c>
      <c r="T364">
        <f t="shared" si="28"/>
        <v>1</v>
      </c>
      <c r="U364" t="str">
        <f t="shared" si="29"/>
        <v>REVIEW_RETURN</v>
      </c>
    </row>
    <row r="365" spans="1:21">
      <c r="A365" t="s">
        <v>377</v>
      </c>
      <c r="B365" t="s">
        <v>4358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 t="str">
        <f>IF((Sheet1[[#This Row],[Quantity]]*Sheet1[[#This Row],[UnitPrice]])=(Sheet1[[#This Row],[TotalPrice]]), "True", "False")</f>
        <v>True</v>
      </c>
      <c r="P365" t="str">
        <f>IF((Sheet1[[#This Row],[ItemsInCart]]&gt;=Sheet1[[#This Row],[Quantity]]), "Good", "Bad")</f>
        <v>Good</v>
      </c>
      <c r="Q365" t="str">
        <f t="shared" si="25"/>
        <v>OK</v>
      </c>
      <c r="R365" t="str">
        <f t="shared" si="26"/>
        <v>BAD</v>
      </c>
      <c r="S365">
        <f t="shared" si="27"/>
        <v>0</v>
      </c>
      <c r="T365">
        <f t="shared" si="28"/>
        <v>1</v>
      </c>
      <c r="U365" t="str">
        <f t="shared" si="29"/>
        <v>DOCUMENTED</v>
      </c>
    </row>
    <row r="366" spans="1:21">
      <c r="A366" t="s">
        <v>378</v>
      </c>
      <c r="B366" t="s">
        <v>4537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 t="str">
        <f>IF((Sheet1[[#This Row],[Quantity]]*Sheet1[[#This Row],[UnitPrice]])=(Sheet1[[#This Row],[TotalPrice]]), "True", "False")</f>
        <v>True</v>
      </c>
      <c r="P366" t="str">
        <f>IF((Sheet1[[#This Row],[ItemsInCart]]&gt;=Sheet1[[#This Row],[Quantity]]), "Good", "Bad")</f>
        <v>Good</v>
      </c>
      <c r="Q366" t="str">
        <f t="shared" si="25"/>
        <v>OK</v>
      </c>
      <c r="R366" t="str">
        <f t="shared" si="26"/>
        <v>BAD</v>
      </c>
      <c r="S366">
        <f t="shared" si="27"/>
        <v>0</v>
      </c>
      <c r="T366">
        <f t="shared" si="28"/>
        <v>1</v>
      </c>
      <c r="U366" t="str">
        <f t="shared" si="29"/>
        <v>REVIEW_RETURN</v>
      </c>
    </row>
    <row r="367" spans="1:21">
      <c r="A367" t="s">
        <v>379</v>
      </c>
      <c r="B367" t="s">
        <v>4594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 t="str">
        <f>IF((Sheet1[[#This Row],[Quantity]]*Sheet1[[#This Row],[UnitPrice]])=(Sheet1[[#This Row],[TotalPrice]]), "True", "False")</f>
        <v>True</v>
      </c>
      <c r="P367" t="str">
        <f>IF((Sheet1[[#This Row],[ItemsInCart]]&gt;=Sheet1[[#This Row],[Quantity]]), "Good", "Bad")</f>
        <v>Good</v>
      </c>
      <c r="Q367" t="str">
        <f t="shared" si="25"/>
        <v>OK</v>
      </c>
      <c r="R367" t="str">
        <f t="shared" si="26"/>
        <v>BAD</v>
      </c>
      <c r="S367">
        <f t="shared" si="27"/>
        <v>0</v>
      </c>
      <c r="T367">
        <f t="shared" si="28"/>
        <v>1</v>
      </c>
      <c r="U367" t="str">
        <f t="shared" si="29"/>
        <v>REVIEW_RETURN</v>
      </c>
    </row>
    <row r="368" spans="1:21">
      <c r="A368" t="s">
        <v>380</v>
      </c>
      <c r="B368" t="s">
        <v>4595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4961</v>
      </c>
      <c r="M368" t="s">
        <v>4279</v>
      </c>
      <c r="N368">
        <v>1806.72</v>
      </c>
      <c r="O368" t="str">
        <f>IF((Sheet1[[#This Row],[Quantity]]*Sheet1[[#This Row],[UnitPrice]])=(Sheet1[[#This Row],[TotalPrice]]), "True", "False")</f>
        <v>True</v>
      </c>
      <c r="P368" t="str">
        <f>IF((Sheet1[[#This Row],[ItemsInCart]]&gt;=Sheet1[[#This Row],[Quantity]]), "Good", "Bad")</f>
        <v>Good</v>
      </c>
      <c r="Q368" t="str">
        <f t="shared" si="25"/>
        <v>OK</v>
      </c>
      <c r="R368" t="str">
        <f t="shared" si="26"/>
        <v>BAD</v>
      </c>
      <c r="S368">
        <f t="shared" si="27"/>
        <v>0</v>
      </c>
      <c r="T368">
        <f t="shared" si="28"/>
        <v>1</v>
      </c>
      <c r="U368" t="str">
        <f t="shared" si="29"/>
        <v>DOCUMENTED</v>
      </c>
    </row>
    <row r="369" spans="1:21">
      <c r="A369" t="s">
        <v>381</v>
      </c>
      <c r="B369" t="s">
        <v>4596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 t="str">
        <f>IF((Sheet1[[#This Row],[Quantity]]*Sheet1[[#This Row],[UnitPrice]])=(Sheet1[[#This Row],[TotalPrice]]), "True", "False")</f>
        <v>True</v>
      </c>
      <c r="P369" t="str">
        <f>IF((Sheet1[[#This Row],[ItemsInCart]]&gt;=Sheet1[[#This Row],[Quantity]]), "Good", "Bad")</f>
        <v>Good</v>
      </c>
      <c r="Q369" t="str">
        <f t="shared" si="25"/>
        <v>OK</v>
      </c>
      <c r="R369" t="str">
        <f t="shared" si="26"/>
        <v>BAD</v>
      </c>
      <c r="S369">
        <f t="shared" si="27"/>
        <v>0</v>
      </c>
      <c r="T369">
        <f t="shared" si="28"/>
        <v>1</v>
      </c>
      <c r="U369" t="str">
        <f t="shared" si="29"/>
        <v>DOCUMENTED</v>
      </c>
    </row>
    <row r="370" spans="1:21">
      <c r="A370" t="s">
        <v>382</v>
      </c>
      <c r="B370" t="s">
        <v>4314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4961</v>
      </c>
      <c r="M370" t="s">
        <v>4282</v>
      </c>
      <c r="N370">
        <v>813.06</v>
      </c>
      <c r="O370" t="str">
        <f>IF((Sheet1[[#This Row],[Quantity]]*Sheet1[[#This Row],[UnitPrice]])=(Sheet1[[#This Row],[TotalPrice]]), "True", "False")</f>
        <v>True</v>
      </c>
      <c r="P370" t="str">
        <f>IF((Sheet1[[#This Row],[ItemsInCart]]&gt;=Sheet1[[#This Row],[Quantity]]), "Good", "Bad")</f>
        <v>Good</v>
      </c>
      <c r="Q370" t="str">
        <f t="shared" si="25"/>
        <v>OK</v>
      </c>
      <c r="R370" t="str">
        <f t="shared" si="26"/>
        <v>BAD</v>
      </c>
      <c r="S370">
        <f t="shared" si="27"/>
        <v>0</v>
      </c>
      <c r="T370">
        <f t="shared" si="28"/>
        <v>1</v>
      </c>
      <c r="U370" t="str">
        <f t="shared" si="29"/>
        <v>REVIEW_RETURN</v>
      </c>
    </row>
    <row r="371" spans="1:21">
      <c r="A371" t="s">
        <v>383</v>
      </c>
      <c r="B371" t="s">
        <v>4353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 t="str">
        <f>IF((Sheet1[[#This Row],[Quantity]]*Sheet1[[#This Row],[UnitPrice]])=(Sheet1[[#This Row],[TotalPrice]]), "True", "False")</f>
        <v>True</v>
      </c>
      <c r="P371" t="str">
        <f>IF((Sheet1[[#This Row],[ItemsInCart]]&gt;=Sheet1[[#This Row],[Quantity]]), "Good", "Bad")</f>
        <v>Good</v>
      </c>
      <c r="Q371" t="str">
        <f t="shared" si="25"/>
        <v>OK</v>
      </c>
      <c r="R371" t="str">
        <f t="shared" si="26"/>
        <v>BAD</v>
      </c>
      <c r="S371">
        <f t="shared" si="27"/>
        <v>0</v>
      </c>
      <c r="T371">
        <f t="shared" si="28"/>
        <v>1</v>
      </c>
      <c r="U371" t="str">
        <f t="shared" si="29"/>
        <v>DOCUMENTED</v>
      </c>
    </row>
    <row r="372" spans="1:21">
      <c r="A372" t="s">
        <v>384</v>
      </c>
      <c r="B372" t="s">
        <v>4403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 t="str">
        <f>IF((Sheet1[[#This Row],[Quantity]]*Sheet1[[#This Row],[UnitPrice]])=(Sheet1[[#This Row],[TotalPrice]]), "True", "False")</f>
        <v>True</v>
      </c>
      <c r="P372" t="str">
        <f>IF((Sheet1[[#This Row],[ItemsInCart]]&gt;=Sheet1[[#This Row],[Quantity]]), "Good", "Bad")</f>
        <v>Good</v>
      </c>
      <c r="Q372" t="str">
        <f t="shared" si="25"/>
        <v>OK</v>
      </c>
      <c r="R372" t="str">
        <f t="shared" si="26"/>
        <v>BAD</v>
      </c>
      <c r="S372">
        <f t="shared" si="27"/>
        <v>0</v>
      </c>
      <c r="T372">
        <f t="shared" si="28"/>
        <v>1</v>
      </c>
      <c r="U372" t="str">
        <f t="shared" si="29"/>
        <v>REVIEW_RETURN</v>
      </c>
    </row>
    <row r="373" spans="1:21">
      <c r="A373" t="s">
        <v>385</v>
      </c>
      <c r="B373" t="s">
        <v>4597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 t="str">
        <f>IF((Sheet1[[#This Row],[Quantity]]*Sheet1[[#This Row],[UnitPrice]])=(Sheet1[[#This Row],[TotalPrice]]), "True", "False")</f>
        <v>True</v>
      </c>
      <c r="P373" t="str">
        <f>IF((Sheet1[[#This Row],[ItemsInCart]]&gt;=Sheet1[[#This Row],[Quantity]]), "Good", "Bad")</f>
        <v>Good</v>
      </c>
      <c r="Q373" t="str">
        <f t="shared" si="25"/>
        <v>OK</v>
      </c>
      <c r="R373" t="str">
        <f t="shared" si="26"/>
        <v>BAD</v>
      </c>
      <c r="S373">
        <f t="shared" si="27"/>
        <v>0</v>
      </c>
      <c r="T373">
        <f t="shared" si="28"/>
        <v>1</v>
      </c>
      <c r="U373" t="str">
        <f t="shared" si="29"/>
        <v>DOCUMENTED</v>
      </c>
    </row>
    <row r="374" spans="1:21">
      <c r="A374" t="s">
        <v>386</v>
      </c>
      <c r="B374" t="s">
        <v>4594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4961</v>
      </c>
      <c r="M374" t="s">
        <v>4279</v>
      </c>
      <c r="N374">
        <v>1450.59</v>
      </c>
      <c r="O374" t="str">
        <f>IF((Sheet1[[#This Row],[Quantity]]*Sheet1[[#This Row],[UnitPrice]])=(Sheet1[[#This Row],[TotalPrice]]), "True", "False")</f>
        <v>True</v>
      </c>
      <c r="P374" t="str">
        <f>IF((Sheet1[[#This Row],[ItemsInCart]]&gt;=Sheet1[[#This Row],[Quantity]]), "Good", "Bad")</f>
        <v>Good</v>
      </c>
      <c r="Q374" t="str">
        <f t="shared" si="25"/>
        <v>OK</v>
      </c>
      <c r="R374" t="str">
        <f t="shared" si="26"/>
        <v>GOOD</v>
      </c>
      <c r="S374">
        <f t="shared" si="27"/>
        <v>0</v>
      </c>
      <c r="T374">
        <f t="shared" si="28"/>
        <v>0</v>
      </c>
      <c r="U374" t="str">
        <f t="shared" si="29"/>
        <v>OK</v>
      </c>
    </row>
    <row r="375" spans="1:21">
      <c r="A375" t="s">
        <v>387</v>
      </c>
      <c r="B375" t="s">
        <v>4598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 t="str">
        <f>IF((Sheet1[[#This Row],[Quantity]]*Sheet1[[#This Row],[UnitPrice]])=(Sheet1[[#This Row],[TotalPrice]]), "True", "False")</f>
        <v>True</v>
      </c>
      <c r="P375" t="str">
        <f>IF((Sheet1[[#This Row],[ItemsInCart]]&gt;=Sheet1[[#This Row],[Quantity]]), "Good", "Bad")</f>
        <v>Good</v>
      </c>
      <c r="Q375" t="str">
        <f t="shared" si="25"/>
        <v>OK</v>
      </c>
      <c r="R375" t="str">
        <f t="shared" si="26"/>
        <v>BAD</v>
      </c>
      <c r="S375">
        <f t="shared" si="27"/>
        <v>0</v>
      </c>
      <c r="T375">
        <f t="shared" si="28"/>
        <v>1</v>
      </c>
      <c r="U375" t="str">
        <f t="shared" si="29"/>
        <v>DOCUMENTED</v>
      </c>
    </row>
    <row r="376" spans="1:21">
      <c r="A376" t="s">
        <v>388</v>
      </c>
      <c r="B376" t="s">
        <v>4599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 t="str">
        <f>IF((Sheet1[[#This Row],[Quantity]]*Sheet1[[#This Row],[UnitPrice]])=(Sheet1[[#This Row],[TotalPrice]]), "True", "False")</f>
        <v>True</v>
      </c>
      <c r="P376" t="str">
        <f>IF((Sheet1[[#This Row],[ItemsInCart]]&gt;=Sheet1[[#This Row],[Quantity]]), "Good", "Bad")</f>
        <v>Good</v>
      </c>
      <c r="Q376" t="str">
        <f t="shared" si="25"/>
        <v>OK</v>
      </c>
      <c r="R376" t="str">
        <f t="shared" si="26"/>
        <v>BAD</v>
      </c>
      <c r="S376">
        <f t="shared" si="27"/>
        <v>0</v>
      </c>
      <c r="T376">
        <f t="shared" si="28"/>
        <v>1</v>
      </c>
      <c r="U376" t="str">
        <f t="shared" si="29"/>
        <v>DOCUMENTED</v>
      </c>
    </row>
    <row r="377" spans="1:21">
      <c r="A377" t="s">
        <v>389</v>
      </c>
      <c r="B377" t="s">
        <v>4600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 t="str">
        <f>IF((Sheet1[[#This Row],[Quantity]]*Sheet1[[#This Row],[UnitPrice]])=(Sheet1[[#This Row],[TotalPrice]]), "True", "False")</f>
        <v>True</v>
      </c>
      <c r="P377" t="str">
        <f>IF((Sheet1[[#This Row],[ItemsInCart]]&gt;=Sheet1[[#This Row],[Quantity]]), "Good", "Bad")</f>
        <v>Good</v>
      </c>
      <c r="Q377" t="str">
        <f t="shared" si="25"/>
        <v>OK</v>
      </c>
      <c r="R377" t="str">
        <f t="shared" si="26"/>
        <v>GOOD</v>
      </c>
      <c r="S377">
        <f t="shared" si="27"/>
        <v>0</v>
      </c>
      <c r="T377">
        <f t="shared" si="28"/>
        <v>0</v>
      </c>
      <c r="U377" t="str">
        <f t="shared" si="29"/>
        <v>OK</v>
      </c>
    </row>
    <row r="378" spans="1:21">
      <c r="A378" t="s">
        <v>390</v>
      </c>
      <c r="B378" t="s">
        <v>4601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 t="str">
        <f>IF((Sheet1[[#This Row],[Quantity]]*Sheet1[[#This Row],[UnitPrice]])=(Sheet1[[#This Row],[TotalPrice]]), "True", "False")</f>
        <v>True</v>
      </c>
      <c r="P378" t="str">
        <f>IF((Sheet1[[#This Row],[ItemsInCart]]&gt;=Sheet1[[#This Row],[Quantity]]), "Good", "Bad")</f>
        <v>Good</v>
      </c>
      <c r="Q378" t="str">
        <f t="shared" si="25"/>
        <v>OK</v>
      </c>
      <c r="R378" t="str">
        <f t="shared" si="26"/>
        <v>BAD</v>
      </c>
      <c r="S378">
        <f t="shared" si="27"/>
        <v>0</v>
      </c>
      <c r="T378">
        <f t="shared" si="28"/>
        <v>1</v>
      </c>
      <c r="U378" t="str">
        <f t="shared" si="29"/>
        <v>DOCUMENTED</v>
      </c>
    </row>
    <row r="379" spans="1:21">
      <c r="A379" t="s">
        <v>391</v>
      </c>
      <c r="B379" t="s">
        <v>4602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 t="str">
        <f>IF((Sheet1[[#This Row],[Quantity]]*Sheet1[[#This Row],[UnitPrice]])=(Sheet1[[#This Row],[TotalPrice]]), "True", "False")</f>
        <v>True</v>
      </c>
      <c r="P379" t="str">
        <f>IF((Sheet1[[#This Row],[ItemsInCart]]&gt;=Sheet1[[#This Row],[Quantity]]), "Good", "Bad")</f>
        <v>Good</v>
      </c>
      <c r="Q379" t="str">
        <f t="shared" si="25"/>
        <v>OK</v>
      </c>
      <c r="R379" t="str">
        <f t="shared" si="26"/>
        <v>BAD</v>
      </c>
      <c r="S379">
        <f t="shared" si="27"/>
        <v>0</v>
      </c>
      <c r="T379">
        <f t="shared" si="28"/>
        <v>1</v>
      </c>
      <c r="U379" t="str">
        <f t="shared" si="29"/>
        <v>DOCUMENTED</v>
      </c>
    </row>
    <row r="380" spans="1:21">
      <c r="A380" t="s">
        <v>392</v>
      </c>
      <c r="B380" t="s">
        <v>4603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 t="str">
        <f>IF((Sheet1[[#This Row],[Quantity]]*Sheet1[[#This Row],[UnitPrice]])=(Sheet1[[#This Row],[TotalPrice]]), "True", "False")</f>
        <v>True</v>
      </c>
      <c r="P380" t="str">
        <f>IF((Sheet1[[#This Row],[ItemsInCart]]&gt;=Sheet1[[#This Row],[Quantity]]), "Good", "Bad")</f>
        <v>Good</v>
      </c>
      <c r="Q380" t="str">
        <f t="shared" si="25"/>
        <v>OK</v>
      </c>
      <c r="R380" t="str">
        <f t="shared" si="26"/>
        <v>BAD</v>
      </c>
      <c r="S380">
        <f t="shared" si="27"/>
        <v>0</v>
      </c>
      <c r="T380">
        <f t="shared" si="28"/>
        <v>1</v>
      </c>
      <c r="U380" t="str">
        <f t="shared" si="29"/>
        <v>DOCUMENTED</v>
      </c>
    </row>
    <row r="381" spans="1:21">
      <c r="A381" t="s">
        <v>393</v>
      </c>
      <c r="B381" t="s">
        <v>4604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4961</v>
      </c>
      <c r="M381" t="s">
        <v>4282</v>
      </c>
      <c r="N381">
        <v>893.01</v>
      </c>
      <c r="O381" t="str">
        <f>IF((Sheet1[[#This Row],[Quantity]]*Sheet1[[#This Row],[UnitPrice]])=(Sheet1[[#This Row],[TotalPrice]]), "True", "False")</f>
        <v>True</v>
      </c>
      <c r="P381" t="str">
        <f>IF((Sheet1[[#This Row],[ItemsInCart]]&gt;=Sheet1[[#This Row],[Quantity]]), "Good", "Bad")</f>
        <v>Good</v>
      </c>
      <c r="Q381" t="str">
        <f t="shared" si="25"/>
        <v>OK</v>
      </c>
      <c r="R381" t="str">
        <f t="shared" si="26"/>
        <v>GOOD</v>
      </c>
      <c r="S381">
        <f t="shared" si="27"/>
        <v>0</v>
      </c>
      <c r="T381">
        <f t="shared" si="28"/>
        <v>0</v>
      </c>
      <c r="U381" t="str">
        <f t="shared" si="29"/>
        <v>OK</v>
      </c>
    </row>
    <row r="382" spans="1:21">
      <c r="A382" t="s">
        <v>394</v>
      </c>
      <c r="B382" t="s">
        <v>4605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 t="str">
        <f>IF((Sheet1[[#This Row],[Quantity]]*Sheet1[[#This Row],[UnitPrice]])=(Sheet1[[#This Row],[TotalPrice]]), "True", "False")</f>
        <v>True</v>
      </c>
      <c r="P382" t="str">
        <f>IF((Sheet1[[#This Row],[ItemsInCart]]&gt;=Sheet1[[#This Row],[Quantity]]), "Good", "Bad")</f>
        <v>Good</v>
      </c>
      <c r="Q382" t="str">
        <f t="shared" si="25"/>
        <v>OK</v>
      </c>
      <c r="R382" t="str">
        <f t="shared" si="26"/>
        <v>BAD</v>
      </c>
      <c r="S382">
        <f t="shared" si="27"/>
        <v>0</v>
      </c>
      <c r="T382">
        <f t="shared" si="28"/>
        <v>1</v>
      </c>
      <c r="U382" t="str">
        <f t="shared" si="29"/>
        <v>DOCUMENTED</v>
      </c>
    </row>
    <row r="383" spans="1:21">
      <c r="A383" t="s">
        <v>395</v>
      </c>
      <c r="B383" t="s">
        <v>4606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 t="str">
        <f>IF((Sheet1[[#This Row],[Quantity]]*Sheet1[[#This Row],[UnitPrice]])=(Sheet1[[#This Row],[TotalPrice]]), "True", "False")</f>
        <v>True</v>
      </c>
      <c r="P383" t="str">
        <f>IF((Sheet1[[#This Row],[ItemsInCart]]&gt;=Sheet1[[#This Row],[Quantity]]), "Good", "Bad")</f>
        <v>Good</v>
      </c>
      <c r="Q383" t="str">
        <f t="shared" si="25"/>
        <v>OK</v>
      </c>
      <c r="R383" t="str">
        <f t="shared" si="26"/>
        <v>GOOD</v>
      </c>
      <c r="S383">
        <f t="shared" si="27"/>
        <v>0</v>
      </c>
      <c r="T383">
        <f t="shared" si="28"/>
        <v>0</v>
      </c>
      <c r="U383" t="str">
        <f t="shared" si="29"/>
        <v>OK</v>
      </c>
    </row>
    <row r="384" spans="1:21">
      <c r="A384" t="s">
        <v>396</v>
      </c>
      <c r="B384" t="s">
        <v>4607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 t="str">
        <f>IF((Sheet1[[#This Row],[Quantity]]*Sheet1[[#This Row],[UnitPrice]])=(Sheet1[[#This Row],[TotalPrice]]), "True", "False")</f>
        <v>True</v>
      </c>
      <c r="P384" t="str">
        <f>IF((Sheet1[[#This Row],[ItemsInCart]]&gt;=Sheet1[[#This Row],[Quantity]]), "Good", "Bad")</f>
        <v>Good</v>
      </c>
      <c r="Q384" t="str">
        <f t="shared" si="25"/>
        <v>OK</v>
      </c>
      <c r="R384" t="str">
        <f t="shared" si="26"/>
        <v>GOOD</v>
      </c>
      <c r="S384">
        <f t="shared" si="27"/>
        <v>0</v>
      </c>
      <c r="T384">
        <f t="shared" si="28"/>
        <v>0</v>
      </c>
      <c r="U384" t="str">
        <f t="shared" si="29"/>
        <v>OK</v>
      </c>
    </row>
    <row r="385" spans="1:21">
      <c r="A385" t="s">
        <v>397</v>
      </c>
      <c r="B385" t="s">
        <v>4608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 t="str">
        <f>IF((Sheet1[[#This Row],[Quantity]]*Sheet1[[#This Row],[UnitPrice]])=(Sheet1[[#This Row],[TotalPrice]]), "True", "False")</f>
        <v>True</v>
      </c>
      <c r="P385" t="str">
        <f>IF((Sheet1[[#This Row],[ItemsInCart]]&gt;=Sheet1[[#This Row],[Quantity]]), "Good", "Bad")</f>
        <v>Good</v>
      </c>
      <c r="Q385" t="str">
        <f t="shared" si="25"/>
        <v>OK</v>
      </c>
      <c r="R385" t="str">
        <f t="shared" si="26"/>
        <v>BAD</v>
      </c>
      <c r="S385">
        <f t="shared" si="27"/>
        <v>0</v>
      </c>
      <c r="T385">
        <f t="shared" si="28"/>
        <v>1</v>
      </c>
      <c r="U385" t="str">
        <f t="shared" si="29"/>
        <v>DOCUMENTED</v>
      </c>
    </row>
    <row r="386" spans="1:21">
      <c r="A386" t="s">
        <v>398</v>
      </c>
      <c r="B386" t="s">
        <v>4450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 t="str">
        <f>IF((Sheet1[[#This Row],[Quantity]]*Sheet1[[#This Row],[UnitPrice]])=(Sheet1[[#This Row],[TotalPrice]]), "True", "False")</f>
        <v>True</v>
      </c>
      <c r="P386" t="str">
        <f>IF((Sheet1[[#This Row],[ItemsInCart]]&gt;=Sheet1[[#This Row],[Quantity]]), "Good", "Bad")</f>
        <v>Good</v>
      </c>
      <c r="Q386" t="str">
        <f t="shared" ref="Q386:Q449" si="30">IF(AND(E386&gt;0, F386&gt;0,N386&gt;0),"OK","INVALID")</f>
        <v>OK</v>
      </c>
      <c r="R386" t="str">
        <f t="shared" ref="R386:R449" si="31">IF(OR(AND(OR(I386="Shipped",I386="Delivered",I386="Returned"),J386=""),AND(OR(I386="Processing",I386="Pending",I386="Cancelled"),J386&lt;&gt;"")),"BAD","GOOD")</f>
        <v>GOOD</v>
      </c>
      <c r="S386">
        <f t="shared" ref="S386:S449" si="32">IF(AND(OR(I386="Shipped",I386="Delivered",I386="Returned"),J386=""),1,0)</f>
        <v>0</v>
      </c>
      <c r="T386">
        <f t="shared" ref="T386:T449" si="33">IF(AND(OR(I386="Processing",I386="Pending",I386="Cancelled"),J386&lt;&gt;""),1,0)</f>
        <v>0</v>
      </c>
      <c r="U386" t="str">
        <f t="shared" ref="U386:U449" si="34">IF(AND(OR(I386="Shipped",I386="Delivered"),J386=""),"MISSING_TRACKING", IF(AND(OR(I386="Processing",I386="Pending"),J386&lt;&gt;""),"DOCUMENTED", IF(AND(I386="Cancelled",J386&lt;&gt;""), "REVIEW_RETURN", "OK")))</f>
        <v>OK</v>
      </c>
    </row>
    <row r="387" spans="1:21">
      <c r="A387" t="s">
        <v>399</v>
      </c>
      <c r="B387" t="s">
        <v>4433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 t="str">
        <f>IF((Sheet1[[#This Row],[Quantity]]*Sheet1[[#This Row],[UnitPrice]])=(Sheet1[[#This Row],[TotalPrice]]), "True", "False")</f>
        <v>True</v>
      </c>
      <c r="P387" t="str">
        <f>IF((Sheet1[[#This Row],[ItemsInCart]]&gt;=Sheet1[[#This Row],[Quantity]]), "Good", "Bad")</f>
        <v>Good</v>
      </c>
      <c r="Q387" t="str">
        <f t="shared" si="30"/>
        <v>OK</v>
      </c>
      <c r="R387" t="str">
        <f t="shared" si="31"/>
        <v>GOOD</v>
      </c>
      <c r="S387">
        <f t="shared" si="32"/>
        <v>0</v>
      </c>
      <c r="T387">
        <f t="shared" si="33"/>
        <v>0</v>
      </c>
      <c r="U387" t="str">
        <f t="shared" si="34"/>
        <v>OK</v>
      </c>
    </row>
    <row r="388" spans="1:21">
      <c r="A388" t="s">
        <v>400</v>
      </c>
      <c r="B388" t="s">
        <v>4483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4961</v>
      </c>
      <c r="M388" t="s">
        <v>4280</v>
      </c>
      <c r="N388">
        <v>93.02</v>
      </c>
      <c r="O388" t="str">
        <f>IF((Sheet1[[#This Row],[Quantity]]*Sheet1[[#This Row],[UnitPrice]])=(Sheet1[[#This Row],[TotalPrice]]), "True", "False")</f>
        <v>True</v>
      </c>
      <c r="P388" t="str">
        <f>IF((Sheet1[[#This Row],[ItemsInCart]]&gt;=Sheet1[[#This Row],[Quantity]]), "Good", "Bad")</f>
        <v>Good</v>
      </c>
      <c r="Q388" t="str">
        <f t="shared" si="30"/>
        <v>OK</v>
      </c>
      <c r="R388" t="str">
        <f t="shared" si="31"/>
        <v>GOOD</v>
      </c>
      <c r="S388">
        <f t="shared" si="32"/>
        <v>0</v>
      </c>
      <c r="T388">
        <f t="shared" si="33"/>
        <v>0</v>
      </c>
      <c r="U388" t="str">
        <f t="shared" si="34"/>
        <v>OK</v>
      </c>
    </row>
    <row r="389" spans="1:21">
      <c r="A389" t="s">
        <v>401</v>
      </c>
      <c r="B389" t="s">
        <v>4609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 t="str">
        <f>IF((Sheet1[[#This Row],[Quantity]]*Sheet1[[#This Row],[UnitPrice]])=(Sheet1[[#This Row],[TotalPrice]]), "True", "False")</f>
        <v>True</v>
      </c>
      <c r="P389" t="str">
        <f>IF((Sheet1[[#This Row],[ItemsInCart]]&gt;=Sheet1[[#This Row],[Quantity]]), "Good", "Bad")</f>
        <v>Good</v>
      </c>
      <c r="Q389" t="str">
        <f t="shared" si="30"/>
        <v>OK</v>
      </c>
      <c r="R389" t="str">
        <f t="shared" si="31"/>
        <v>GOOD</v>
      </c>
      <c r="S389">
        <f t="shared" si="32"/>
        <v>0</v>
      </c>
      <c r="T389">
        <f t="shared" si="33"/>
        <v>0</v>
      </c>
      <c r="U389" t="str">
        <f t="shared" si="34"/>
        <v>OK</v>
      </c>
    </row>
    <row r="390" spans="1:21">
      <c r="A390" t="s">
        <v>402</v>
      </c>
      <c r="B390" t="s">
        <v>4436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 t="str">
        <f>IF((Sheet1[[#This Row],[Quantity]]*Sheet1[[#This Row],[UnitPrice]])=(Sheet1[[#This Row],[TotalPrice]]), "True", "False")</f>
        <v>True</v>
      </c>
      <c r="P390" t="str">
        <f>IF((Sheet1[[#This Row],[ItemsInCart]]&gt;=Sheet1[[#This Row],[Quantity]]), "Good", "Bad")</f>
        <v>Good</v>
      </c>
      <c r="Q390" t="str">
        <f t="shared" si="30"/>
        <v>OK</v>
      </c>
      <c r="R390" t="str">
        <f t="shared" si="31"/>
        <v>BAD</v>
      </c>
      <c r="S390">
        <f t="shared" si="32"/>
        <v>0</v>
      </c>
      <c r="T390">
        <f t="shared" si="33"/>
        <v>1</v>
      </c>
      <c r="U390" t="str">
        <f t="shared" si="34"/>
        <v>DOCUMENTED</v>
      </c>
    </row>
    <row r="391" spans="1:21">
      <c r="A391" t="s">
        <v>403</v>
      </c>
      <c r="B391" t="s">
        <v>4610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 t="str">
        <f>IF((Sheet1[[#This Row],[Quantity]]*Sheet1[[#This Row],[UnitPrice]])=(Sheet1[[#This Row],[TotalPrice]]), "True", "False")</f>
        <v>True</v>
      </c>
      <c r="P391" t="str">
        <f>IF((Sheet1[[#This Row],[ItemsInCart]]&gt;=Sheet1[[#This Row],[Quantity]]), "Good", "Bad")</f>
        <v>Good</v>
      </c>
      <c r="Q391" t="str">
        <f t="shared" si="30"/>
        <v>OK</v>
      </c>
      <c r="R391" t="str">
        <f t="shared" si="31"/>
        <v>GOOD</v>
      </c>
      <c r="S391">
        <f t="shared" si="32"/>
        <v>0</v>
      </c>
      <c r="T391">
        <f t="shared" si="33"/>
        <v>0</v>
      </c>
      <c r="U391" t="str">
        <f t="shared" si="34"/>
        <v>OK</v>
      </c>
    </row>
    <row r="392" spans="1:21">
      <c r="A392" t="s">
        <v>404</v>
      </c>
      <c r="B392" t="s">
        <v>4611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 t="str">
        <f>IF((Sheet1[[#This Row],[Quantity]]*Sheet1[[#This Row],[UnitPrice]])=(Sheet1[[#This Row],[TotalPrice]]), "True", "False")</f>
        <v>True</v>
      </c>
      <c r="P392" t="str">
        <f>IF((Sheet1[[#This Row],[ItemsInCart]]&gt;=Sheet1[[#This Row],[Quantity]]), "Good", "Bad")</f>
        <v>Good</v>
      </c>
      <c r="Q392" t="str">
        <f t="shared" si="30"/>
        <v>OK</v>
      </c>
      <c r="R392" t="str">
        <f t="shared" si="31"/>
        <v>GOOD</v>
      </c>
      <c r="S392">
        <f t="shared" si="32"/>
        <v>0</v>
      </c>
      <c r="T392">
        <f t="shared" si="33"/>
        <v>0</v>
      </c>
      <c r="U392" t="str">
        <f t="shared" si="34"/>
        <v>OK</v>
      </c>
    </row>
    <row r="393" spans="1:21">
      <c r="A393" t="s">
        <v>405</v>
      </c>
      <c r="B393" t="s">
        <v>4600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 t="str">
        <f>IF((Sheet1[[#This Row],[Quantity]]*Sheet1[[#This Row],[UnitPrice]])=(Sheet1[[#This Row],[TotalPrice]]), "True", "False")</f>
        <v>True</v>
      </c>
      <c r="P393" t="str">
        <f>IF((Sheet1[[#This Row],[ItemsInCart]]&gt;=Sheet1[[#This Row],[Quantity]]), "Good", "Bad")</f>
        <v>Good</v>
      </c>
      <c r="Q393" t="str">
        <f t="shared" si="30"/>
        <v>OK</v>
      </c>
      <c r="R393" t="str">
        <f t="shared" si="31"/>
        <v>BAD</v>
      </c>
      <c r="S393">
        <f t="shared" si="32"/>
        <v>0</v>
      </c>
      <c r="T393">
        <f t="shared" si="33"/>
        <v>1</v>
      </c>
      <c r="U393" t="str">
        <f t="shared" si="34"/>
        <v>REVIEW_RETURN</v>
      </c>
    </row>
    <row r="394" spans="1:21">
      <c r="A394" t="s">
        <v>406</v>
      </c>
      <c r="B394" t="s">
        <v>4612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 t="str">
        <f>IF((Sheet1[[#This Row],[Quantity]]*Sheet1[[#This Row],[UnitPrice]])=(Sheet1[[#This Row],[TotalPrice]]), "True", "False")</f>
        <v>True</v>
      </c>
      <c r="P394" t="str">
        <f>IF((Sheet1[[#This Row],[ItemsInCart]]&gt;=Sheet1[[#This Row],[Quantity]]), "Good", "Bad")</f>
        <v>Good</v>
      </c>
      <c r="Q394" t="str">
        <f t="shared" si="30"/>
        <v>OK</v>
      </c>
      <c r="R394" t="str">
        <f t="shared" si="31"/>
        <v>GOOD</v>
      </c>
      <c r="S394">
        <f t="shared" si="32"/>
        <v>0</v>
      </c>
      <c r="T394">
        <f t="shared" si="33"/>
        <v>0</v>
      </c>
      <c r="U394" t="str">
        <f t="shared" si="34"/>
        <v>OK</v>
      </c>
    </row>
    <row r="395" spans="1:21">
      <c r="A395" t="s">
        <v>407</v>
      </c>
      <c r="B395" t="s">
        <v>4613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4961</v>
      </c>
      <c r="M395" t="s">
        <v>4282</v>
      </c>
      <c r="N395">
        <v>75.010000000000005</v>
      </c>
      <c r="O395" t="str">
        <f>IF((Sheet1[[#This Row],[Quantity]]*Sheet1[[#This Row],[UnitPrice]])=(Sheet1[[#This Row],[TotalPrice]]), "True", "False")</f>
        <v>True</v>
      </c>
      <c r="P395" t="str">
        <f>IF((Sheet1[[#This Row],[ItemsInCart]]&gt;=Sheet1[[#This Row],[Quantity]]), "Good", "Bad")</f>
        <v>Good</v>
      </c>
      <c r="Q395" t="str">
        <f t="shared" si="30"/>
        <v>OK</v>
      </c>
      <c r="R395" t="str">
        <f t="shared" si="31"/>
        <v>GOOD</v>
      </c>
      <c r="S395">
        <f t="shared" si="32"/>
        <v>0</v>
      </c>
      <c r="T395">
        <f t="shared" si="33"/>
        <v>0</v>
      </c>
      <c r="U395" t="str">
        <f t="shared" si="34"/>
        <v>OK</v>
      </c>
    </row>
    <row r="396" spans="1:21">
      <c r="A396" t="s">
        <v>408</v>
      </c>
      <c r="B396" t="s">
        <v>4459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4961</v>
      </c>
      <c r="M396" t="s">
        <v>4281</v>
      </c>
      <c r="N396">
        <v>2647.75</v>
      </c>
      <c r="O396" t="str">
        <f>IF((Sheet1[[#This Row],[Quantity]]*Sheet1[[#This Row],[UnitPrice]])=(Sheet1[[#This Row],[TotalPrice]]), "True", "False")</f>
        <v>True</v>
      </c>
      <c r="P396" t="str">
        <f>IF((Sheet1[[#This Row],[ItemsInCart]]&gt;=Sheet1[[#This Row],[Quantity]]), "Good", "Bad")</f>
        <v>Good</v>
      </c>
      <c r="Q396" t="str">
        <f t="shared" si="30"/>
        <v>OK</v>
      </c>
      <c r="R396" t="str">
        <f t="shared" si="31"/>
        <v>GOOD</v>
      </c>
      <c r="S396">
        <f t="shared" si="32"/>
        <v>0</v>
      </c>
      <c r="T396">
        <f t="shared" si="33"/>
        <v>0</v>
      </c>
      <c r="U396" t="str">
        <f t="shared" si="34"/>
        <v>OK</v>
      </c>
    </row>
    <row r="397" spans="1:21">
      <c r="A397" t="s">
        <v>409</v>
      </c>
      <c r="B397" t="s">
        <v>4614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 t="str">
        <f>IF((Sheet1[[#This Row],[Quantity]]*Sheet1[[#This Row],[UnitPrice]])=(Sheet1[[#This Row],[TotalPrice]]), "True", "False")</f>
        <v>True</v>
      </c>
      <c r="P397" t="str">
        <f>IF((Sheet1[[#This Row],[ItemsInCart]]&gt;=Sheet1[[#This Row],[Quantity]]), "Good", "Bad")</f>
        <v>Good</v>
      </c>
      <c r="Q397" t="str">
        <f t="shared" si="30"/>
        <v>OK</v>
      </c>
      <c r="R397" t="str">
        <f t="shared" si="31"/>
        <v>GOOD</v>
      </c>
      <c r="S397">
        <f t="shared" si="32"/>
        <v>0</v>
      </c>
      <c r="T397">
        <f t="shared" si="33"/>
        <v>0</v>
      </c>
      <c r="U397" t="str">
        <f t="shared" si="34"/>
        <v>OK</v>
      </c>
    </row>
    <row r="398" spans="1:21">
      <c r="A398" t="s">
        <v>410</v>
      </c>
      <c r="B398" t="s">
        <v>4425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 t="str">
        <f>IF((Sheet1[[#This Row],[Quantity]]*Sheet1[[#This Row],[UnitPrice]])=(Sheet1[[#This Row],[TotalPrice]]), "True", "False")</f>
        <v>True</v>
      </c>
      <c r="P398" t="str">
        <f>IF((Sheet1[[#This Row],[ItemsInCart]]&gt;=Sheet1[[#This Row],[Quantity]]), "Good", "Bad")</f>
        <v>Good</v>
      </c>
      <c r="Q398" t="str">
        <f t="shared" si="30"/>
        <v>OK</v>
      </c>
      <c r="R398" t="str">
        <f t="shared" si="31"/>
        <v>GOOD</v>
      </c>
      <c r="S398">
        <f t="shared" si="32"/>
        <v>0</v>
      </c>
      <c r="T398">
        <f t="shared" si="33"/>
        <v>0</v>
      </c>
      <c r="U398" t="str">
        <f t="shared" si="34"/>
        <v>OK</v>
      </c>
    </row>
    <row r="399" spans="1:21">
      <c r="A399" t="s">
        <v>411</v>
      </c>
      <c r="B399" t="s">
        <v>4615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 t="str">
        <f>IF((Sheet1[[#This Row],[Quantity]]*Sheet1[[#This Row],[UnitPrice]])=(Sheet1[[#This Row],[TotalPrice]]), "True", "False")</f>
        <v>True</v>
      </c>
      <c r="P399" t="str">
        <f>IF((Sheet1[[#This Row],[ItemsInCart]]&gt;=Sheet1[[#This Row],[Quantity]]), "Good", "Bad")</f>
        <v>Good</v>
      </c>
      <c r="Q399" t="str">
        <f t="shared" si="30"/>
        <v>OK</v>
      </c>
      <c r="R399" t="str">
        <f t="shared" si="31"/>
        <v>BAD</v>
      </c>
      <c r="S399">
        <f t="shared" si="32"/>
        <v>0</v>
      </c>
      <c r="T399">
        <f t="shared" si="33"/>
        <v>1</v>
      </c>
      <c r="U399" t="str">
        <f t="shared" si="34"/>
        <v>REVIEW_RETURN</v>
      </c>
    </row>
    <row r="400" spans="1:21">
      <c r="A400" t="s">
        <v>412</v>
      </c>
      <c r="B400" t="s">
        <v>4616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 t="str">
        <f>IF((Sheet1[[#This Row],[Quantity]]*Sheet1[[#This Row],[UnitPrice]])=(Sheet1[[#This Row],[TotalPrice]]), "True", "False")</f>
        <v>True</v>
      </c>
      <c r="P400" t="str">
        <f>IF((Sheet1[[#This Row],[ItemsInCart]]&gt;=Sheet1[[#This Row],[Quantity]]), "Good", "Bad")</f>
        <v>Good</v>
      </c>
      <c r="Q400" t="str">
        <f t="shared" si="30"/>
        <v>OK</v>
      </c>
      <c r="R400" t="str">
        <f t="shared" si="31"/>
        <v>GOOD</v>
      </c>
      <c r="S400">
        <f t="shared" si="32"/>
        <v>0</v>
      </c>
      <c r="T400">
        <f t="shared" si="33"/>
        <v>0</v>
      </c>
      <c r="U400" t="str">
        <f t="shared" si="34"/>
        <v>OK</v>
      </c>
    </row>
    <row r="401" spans="1:21">
      <c r="A401" t="s">
        <v>413</v>
      </c>
      <c r="B401" t="s">
        <v>4617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 t="str">
        <f>IF((Sheet1[[#This Row],[Quantity]]*Sheet1[[#This Row],[UnitPrice]])=(Sheet1[[#This Row],[TotalPrice]]), "True", "False")</f>
        <v>True</v>
      </c>
      <c r="P401" t="str">
        <f>IF((Sheet1[[#This Row],[ItemsInCart]]&gt;=Sheet1[[#This Row],[Quantity]]), "Good", "Bad")</f>
        <v>Good</v>
      </c>
      <c r="Q401" t="str">
        <f t="shared" si="30"/>
        <v>OK</v>
      </c>
      <c r="R401" t="str">
        <f t="shared" si="31"/>
        <v>GOOD</v>
      </c>
      <c r="S401">
        <f t="shared" si="32"/>
        <v>0</v>
      </c>
      <c r="T401">
        <f t="shared" si="33"/>
        <v>0</v>
      </c>
      <c r="U401" t="str">
        <f t="shared" si="34"/>
        <v>OK</v>
      </c>
    </row>
    <row r="402" spans="1:21">
      <c r="A402" t="s">
        <v>414</v>
      </c>
      <c r="B402" t="s">
        <v>4618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 t="str">
        <f>IF((Sheet1[[#This Row],[Quantity]]*Sheet1[[#This Row],[UnitPrice]])=(Sheet1[[#This Row],[TotalPrice]]), "True", "False")</f>
        <v>True</v>
      </c>
      <c r="P402" t="str">
        <f>IF((Sheet1[[#This Row],[ItemsInCart]]&gt;=Sheet1[[#This Row],[Quantity]]), "Good", "Bad")</f>
        <v>Good</v>
      </c>
      <c r="Q402" t="str">
        <f t="shared" si="30"/>
        <v>OK</v>
      </c>
      <c r="R402" t="str">
        <f t="shared" si="31"/>
        <v>GOOD</v>
      </c>
      <c r="S402">
        <f t="shared" si="32"/>
        <v>0</v>
      </c>
      <c r="T402">
        <f t="shared" si="33"/>
        <v>0</v>
      </c>
      <c r="U402" t="str">
        <f t="shared" si="34"/>
        <v>OK</v>
      </c>
    </row>
    <row r="403" spans="1:21">
      <c r="A403" t="s">
        <v>415</v>
      </c>
      <c r="B403" t="s">
        <v>4306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4961</v>
      </c>
      <c r="M403" t="s">
        <v>4279</v>
      </c>
      <c r="N403">
        <v>538.67999999999995</v>
      </c>
      <c r="O403" t="str">
        <f>IF((Sheet1[[#This Row],[Quantity]]*Sheet1[[#This Row],[UnitPrice]])=(Sheet1[[#This Row],[TotalPrice]]), "True", "False")</f>
        <v>True</v>
      </c>
      <c r="P403" t="str">
        <f>IF((Sheet1[[#This Row],[ItemsInCart]]&gt;=Sheet1[[#This Row],[Quantity]]), "Good", "Bad")</f>
        <v>Good</v>
      </c>
      <c r="Q403" t="str">
        <f t="shared" si="30"/>
        <v>OK</v>
      </c>
      <c r="R403" t="str">
        <f t="shared" si="31"/>
        <v>GOOD</v>
      </c>
      <c r="S403">
        <f t="shared" si="32"/>
        <v>0</v>
      </c>
      <c r="T403">
        <f t="shared" si="33"/>
        <v>0</v>
      </c>
      <c r="U403" t="str">
        <f t="shared" si="34"/>
        <v>OK</v>
      </c>
    </row>
    <row r="404" spans="1:21">
      <c r="A404" t="s">
        <v>416</v>
      </c>
      <c r="B404" t="s">
        <v>4619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4961</v>
      </c>
      <c r="M404" t="s">
        <v>4279</v>
      </c>
      <c r="N404">
        <v>1686.9</v>
      </c>
      <c r="O404" t="str">
        <f>IF((Sheet1[[#This Row],[Quantity]]*Sheet1[[#This Row],[UnitPrice]])=(Sheet1[[#This Row],[TotalPrice]]), "True", "False")</f>
        <v>True</v>
      </c>
      <c r="P404" t="str">
        <f>IF((Sheet1[[#This Row],[ItemsInCart]]&gt;=Sheet1[[#This Row],[Quantity]]), "Good", "Bad")</f>
        <v>Good</v>
      </c>
      <c r="Q404" t="str">
        <f t="shared" si="30"/>
        <v>OK</v>
      </c>
      <c r="R404" t="str">
        <f t="shared" si="31"/>
        <v>GOOD</v>
      </c>
      <c r="S404">
        <f t="shared" si="32"/>
        <v>0</v>
      </c>
      <c r="T404">
        <f t="shared" si="33"/>
        <v>0</v>
      </c>
      <c r="U404" t="str">
        <f t="shared" si="34"/>
        <v>OK</v>
      </c>
    </row>
    <row r="405" spans="1:21">
      <c r="A405" t="s">
        <v>417</v>
      </c>
      <c r="B405" t="s">
        <v>4620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 t="str">
        <f>IF((Sheet1[[#This Row],[Quantity]]*Sheet1[[#This Row],[UnitPrice]])=(Sheet1[[#This Row],[TotalPrice]]), "True", "False")</f>
        <v>True</v>
      </c>
      <c r="P405" t="str">
        <f>IF((Sheet1[[#This Row],[ItemsInCart]]&gt;=Sheet1[[#This Row],[Quantity]]), "Good", "Bad")</f>
        <v>Good</v>
      </c>
      <c r="Q405" t="str">
        <f t="shared" si="30"/>
        <v>OK</v>
      </c>
      <c r="R405" t="str">
        <f t="shared" si="31"/>
        <v>GOOD</v>
      </c>
      <c r="S405">
        <f t="shared" si="32"/>
        <v>0</v>
      </c>
      <c r="T405">
        <f t="shared" si="33"/>
        <v>0</v>
      </c>
      <c r="U405" t="str">
        <f t="shared" si="34"/>
        <v>OK</v>
      </c>
    </row>
    <row r="406" spans="1:21">
      <c r="A406" t="s">
        <v>418</v>
      </c>
      <c r="B406" t="s">
        <v>4621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4961</v>
      </c>
      <c r="M406" t="s">
        <v>4278</v>
      </c>
      <c r="N406">
        <v>198.2</v>
      </c>
      <c r="O406" t="str">
        <f>IF((Sheet1[[#This Row],[Quantity]]*Sheet1[[#This Row],[UnitPrice]])=(Sheet1[[#This Row],[TotalPrice]]), "True", "False")</f>
        <v>True</v>
      </c>
      <c r="P406" t="str">
        <f>IF((Sheet1[[#This Row],[ItemsInCart]]&gt;=Sheet1[[#This Row],[Quantity]]), "Good", "Bad")</f>
        <v>Good</v>
      </c>
      <c r="Q406" t="str">
        <f t="shared" si="30"/>
        <v>OK</v>
      </c>
      <c r="R406" t="str">
        <f t="shared" si="31"/>
        <v>GOOD</v>
      </c>
      <c r="S406">
        <f t="shared" si="32"/>
        <v>0</v>
      </c>
      <c r="T406">
        <f t="shared" si="33"/>
        <v>0</v>
      </c>
      <c r="U406" t="str">
        <f t="shared" si="34"/>
        <v>OK</v>
      </c>
    </row>
    <row r="407" spans="1:21">
      <c r="A407" t="s">
        <v>419</v>
      </c>
      <c r="B407" t="s">
        <v>4564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 t="str">
        <f>IF((Sheet1[[#This Row],[Quantity]]*Sheet1[[#This Row],[UnitPrice]])=(Sheet1[[#This Row],[TotalPrice]]), "True", "False")</f>
        <v>True</v>
      </c>
      <c r="P407" t="str">
        <f>IF((Sheet1[[#This Row],[ItemsInCart]]&gt;=Sheet1[[#This Row],[Quantity]]), "Good", "Bad")</f>
        <v>Good</v>
      </c>
      <c r="Q407" t="str">
        <f t="shared" si="30"/>
        <v>OK</v>
      </c>
      <c r="R407" t="str">
        <f t="shared" si="31"/>
        <v>BAD</v>
      </c>
      <c r="S407">
        <f t="shared" si="32"/>
        <v>0</v>
      </c>
      <c r="T407">
        <f t="shared" si="33"/>
        <v>1</v>
      </c>
      <c r="U407" t="str">
        <f t="shared" si="34"/>
        <v>REVIEW_RETURN</v>
      </c>
    </row>
    <row r="408" spans="1:21">
      <c r="A408" t="s">
        <v>420</v>
      </c>
      <c r="B408" t="s">
        <v>4622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 t="str">
        <f>IF((Sheet1[[#This Row],[Quantity]]*Sheet1[[#This Row],[UnitPrice]])=(Sheet1[[#This Row],[TotalPrice]]), "True", "False")</f>
        <v>True</v>
      </c>
      <c r="P408" t="str">
        <f>IF((Sheet1[[#This Row],[ItemsInCart]]&gt;=Sheet1[[#This Row],[Quantity]]), "Good", "Bad")</f>
        <v>Good</v>
      </c>
      <c r="Q408" t="str">
        <f t="shared" si="30"/>
        <v>OK</v>
      </c>
      <c r="R408" t="str">
        <f t="shared" si="31"/>
        <v>GOOD</v>
      </c>
      <c r="S408">
        <f t="shared" si="32"/>
        <v>0</v>
      </c>
      <c r="T408">
        <f t="shared" si="33"/>
        <v>0</v>
      </c>
      <c r="U408" t="str">
        <f t="shared" si="34"/>
        <v>OK</v>
      </c>
    </row>
    <row r="409" spans="1:21">
      <c r="A409" t="s">
        <v>421</v>
      </c>
      <c r="B409" t="s">
        <v>4623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 t="str">
        <f>IF((Sheet1[[#This Row],[Quantity]]*Sheet1[[#This Row],[UnitPrice]])=(Sheet1[[#This Row],[TotalPrice]]), "True", "False")</f>
        <v>True</v>
      </c>
      <c r="P409" t="str">
        <f>IF((Sheet1[[#This Row],[ItemsInCart]]&gt;=Sheet1[[#This Row],[Quantity]]), "Good", "Bad")</f>
        <v>Good</v>
      </c>
      <c r="Q409" t="str">
        <f t="shared" si="30"/>
        <v>OK</v>
      </c>
      <c r="R409" t="str">
        <f t="shared" si="31"/>
        <v>GOOD</v>
      </c>
      <c r="S409">
        <f t="shared" si="32"/>
        <v>0</v>
      </c>
      <c r="T409">
        <f t="shared" si="33"/>
        <v>0</v>
      </c>
      <c r="U409" t="str">
        <f t="shared" si="34"/>
        <v>OK</v>
      </c>
    </row>
    <row r="410" spans="1:21">
      <c r="A410" t="s">
        <v>422</v>
      </c>
      <c r="B410" t="s">
        <v>4624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 t="str">
        <f>IF((Sheet1[[#This Row],[Quantity]]*Sheet1[[#This Row],[UnitPrice]])=(Sheet1[[#This Row],[TotalPrice]]), "True", "False")</f>
        <v>True</v>
      </c>
      <c r="P410" t="str">
        <f>IF((Sheet1[[#This Row],[ItemsInCart]]&gt;=Sheet1[[#This Row],[Quantity]]), "Good", "Bad")</f>
        <v>Good</v>
      </c>
      <c r="Q410" t="str">
        <f t="shared" si="30"/>
        <v>OK</v>
      </c>
      <c r="R410" t="str">
        <f t="shared" si="31"/>
        <v>BAD</v>
      </c>
      <c r="S410">
        <f t="shared" si="32"/>
        <v>0</v>
      </c>
      <c r="T410">
        <f t="shared" si="33"/>
        <v>1</v>
      </c>
      <c r="U410" t="str">
        <f t="shared" si="34"/>
        <v>DOCUMENTED</v>
      </c>
    </row>
    <row r="411" spans="1:21">
      <c r="A411" t="s">
        <v>423</v>
      </c>
      <c r="B411" t="s">
        <v>4625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 t="str">
        <f>IF((Sheet1[[#This Row],[Quantity]]*Sheet1[[#This Row],[UnitPrice]])=(Sheet1[[#This Row],[TotalPrice]]), "True", "False")</f>
        <v>True</v>
      </c>
      <c r="P411" t="str">
        <f>IF((Sheet1[[#This Row],[ItemsInCart]]&gt;=Sheet1[[#This Row],[Quantity]]), "Good", "Bad")</f>
        <v>Good</v>
      </c>
      <c r="Q411" t="str">
        <f t="shared" si="30"/>
        <v>OK</v>
      </c>
      <c r="R411" t="str">
        <f t="shared" si="31"/>
        <v>GOOD</v>
      </c>
      <c r="S411">
        <f t="shared" si="32"/>
        <v>0</v>
      </c>
      <c r="T411">
        <f t="shared" si="33"/>
        <v>0</v>
      </c>
      <c r="U411" t="str">
        <f t="shared" si="34"/>
        <v>OK</v>
      </c>
    </row>
    <row r="412" spans="1:21">
      <c r="A412" t="s">
        <v>424</v>
      </c>
      <c r="B412" t="s">
        <v>4626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4961</v>
      </c>
      <c r="M412" t="s">
        <v>4280</v>
      </c>
      <c r="N412">
        <v>1036.46</v>
      </c>
      <c r="O412" t="str">
        <f>IF((Sheet1[[#This Row],[Quantity]]*Sheet1[[#This Row],[UnitPrice]])=(Sheet1[[#This Row],[TotalPrice]]), "True", "False")</f>
        <v>True</v>
      </c>
      <c r="P412" t="str">
        <f>IF((Sheet1[[#This Row],[ItemsInCart]]&gt;=Sheet1[[#This Row],[Quantity]]), "Good", "Bad")</f>
        <v>Good</v>
      </c>
      <c r="Q412" t="str">
        <f t="shared" si="30"/>
        <v>OK</v>
      </c>
      <c r="R412" t="str">
        <f t="shared" si="31"/>
        <v>GOOD</v>
      </c>
      <c r="S412">
        <f t="shared" si="32"/>
        <v>0</v>
      </c>
      <c r="T412">
        <f t="shared" si="33"/>
        <v>0</v>
      </c>
      <c r="U412" t="str">
        <f t="shared" si="34"/>
        <v>OK</v>
      </c>
    </row>
    <row r="413" spans="1:21">
      <c r="A413" t="s">
        <v>425</v>
      </c>
      <c r="B413" t="s">
        <v>4366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4961</v>
      </c>
      <c r="M413" t="s">
        <v>4281</v>
      </c>
      <c r="N413">
        <v>79.02</v>
      </c>
      <c r="O413" t="str">
        <f>IF((Sheet1[[#This Row],[Quantity]]*Sheet1[[#This Row],[UnitPrice]])=(Sheet1[[#This Row],[TotalPrice]]), "True", "False")</f>
        <v>True</v>
      </c>
      <c r="P413" t="str">
        <f>IF((Sheet1[[#This Row],[ItemsInCart]]&gt;=Sheet1[[#This Row],[Quantity]]), "Good", "Bad")</f>
        <v>Good</v>
      </c>
      <c r="Q413" t="str">
        <f t="shared" si="30"/>
        <v>OK</v>
      </c>
      <c r="R413" t="str">
        <f t="shared" si="31"/>
        <v>GOOD</v>
      </c>
      <c r="S413">
        <f t="shared" si="32"/>
        <v>0</v>
      </c>
      <c r="T413">
        <f t="shared" si="33"/>
        <v>0</v>
      </c>
      <c r="U413" t="str">
        <f t="shared" si="34"/>
        <v>OK</v>
      </c>
    </row>
    <row r="414" spans="1:21">
      <c r="A414" t="s">
        <v>426</v>
      </c>
      <c r="B414" t="s">
        <v>4627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4961</v>
      </c>
      <c r="M414" t="s">
        <v>4281</v>
      </c>
      <c r="N414">
        <v>665.05</v>
      </c>
      <c r="O414" t="str">
        <f>IF((Sheet1[[#This Row],[Quantity]]*Sheet1[[#This Row],[UnitPrice]])=(Sheet1[[#This Row],[TotalPrice]]), "True", "False")</f>
        <v>True</v>
      </c>
      <c r="P414" t="str">
        <f>IF((Sheet1[[#This Row],[ItemsInCart]]&gt;=Sheet1[[#This Row],[Quantity]]), "Good", "Bad")</f>
        <v>Good</v>
      </c>
      <c r="Q414" t="str">
        <f t="shared" si="30"/>
        <v>OK</v>
      </c>
      <c r="R414" t="str">
        <f t="shared" si="31"/>
        <v>GOOD</v>
      </c>
      <c r="S414">
        <f t="shared" si="32"/>
        <v>0</v>
      </c>
      <c r="T414">
        <f t="shared" si="33"/>
        <v>0</v>
      </c>
      <c r="U414" t="str">
        <f t="shared" si="34"/>
        <v>OK</v>
      </c>
    </row>
    <row r="415" spans="1:21">
      <c r="A415" t="s">
        <v>427</v>
      </c>
      <c r="B415" t="s">
        <v>4628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 t="str">
        <f>IF((Sheet1[[#This Row],[Quantity]]*Sheet1[[#This Row],[UnitPrice]])=(Sheet1[[#This Row],[TotalPrice]]), "True", "False")</f>
        <v>True</v>
      </c>
      <c r="P415" t="str">
        <f>IF((Sheet1[[#This Row],[ItemsInCart]]&gt;=Sheet1[[#This Row],[Quantity]]), "Good", "Bad")</f>
        <v>Good</v>
      </c>
      <c r="Q415" t="str">
        <f t="shared" si="30"/>
        <v>OK</v>
      </c>
      <c r="R415" t="str">
        <f t="shared" si="31"/>
        <v>GOOD</v>
      </c>
      <c r="S415">
        <f t="shared" si="32"/>
        <v>0</v>
      </c>
      <c r="T415">
        <f t="shared" si="33"/>
        <v>0</v>
      </c>
      <c r="U415" t="str">
        <f t="shared" si="34"/>
        <v>OK</v>
      </c>
    </row>
    <row r="416" spans="1:21">
      <c r="A416" t="s">
        <v>428</v>
      </c>
      <c r="B416" t="s">
        <v>4629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 t="str">
        <f>IF((Sheet1[[#This Row],[Quantity]]*Sheet1[[#This Row],[UnitPrice]])=(Sheet1[[#This Row],[TotalPrice]]), "True", "False")</f>
        <v>True</v>
      </c>
      <c r="P416" t="str">
        <f>IF((Sheet1[[#This Row],[ItemsInCart]]&gt;=Sheet1[[#This Row],[Quantity]]), "Good", "Bad")</f>
        <v>Good</v>
      </c>
      <c r="Q416" t="str">
        <f t="shared" si="30"/>
        <v>OK</v>
      </c>
      <c r="R416" t="str">
        <f t="shared" si="31"/>
        <v>GOOD</v>
      </c>
      <c r="S416">
        <f t="shared" si="32"/>
        <v>0</v>
      </c>
      <c r="T416">
        <f t="shared" si="33"/>
        <v>0</v>
      </c>
      <c r="U416" t="str">
        <f t="shared" si="34"/>
        <v>OK</v>
      </c>
    </row>
    <row r="417" spans="1:21">
      <c r="A417" t="s">
        <v>429</v>
      </c>
      <c r="B417" t="s">
        <v>4444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 t="str">
        <f>IF((Sheet1[[#This Row],[Quantity]]*Sheet1[[#This Row],[UnitPrice]])=(Sheet1[[#This Row],[TotalPrice]]), "True", "False")</f>
        <v>True</v>
      </c>
      <c r="P417" t="str">
        <f>IF((Sheet1[[#This Row],[ItemsInCart]]&gt;=Sheet1[[#This Row],[Quantity]]), "Good", "Bad")</f>
        <v>Good</v>
      </c>
      <c r="Q417" t="str">
        <f t="shared" si="30"/>
        <v>OK</v>
      </c>
      <c r="R417" t="str">
        <f t="shared" si="31"/>
        <v>GOOD</v>
      </c>
      <c r="S417">
        <f t="shared" si="32"/>
        <v>0</v>
      </c>
      <c r="T417">
        <f t="shared" si="33"/>
        <v>0</v>
      </c>
      <c r="U417" t="str">
        <f t="shared" si="34"/>
        <v>OK</v>
      </c>
    </row>
    <row r="418" spans="1:21">
      <c r="A418" t="s">
        <v>430</v>
      </c>
      <c r="B418" t="s">
        <v>4485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 t="str">
        <f>IF((Sheet1[[#This Row],[Quantity]]*Sheet1[[#This Row],[UnitPrice]])=(Sheet1[[#This Row],[TotalPrice]]), "True", "False")</f>
        <v>True</v>
      </c>
      <c r="P418" t="str">
        <f>IF((Sheet1[[#This Row],[ItemsInCart]]&gt;=Sheet1[[#This Row],[Quantity]]), "Good", "Bad")</f>
        <v>Good</v>
      </c>
      <c r="Q418" t="str">
        <f t="shared" si="30"/>
        <v>OK</v>
      </c>
      <c r="R418" t="str">
        <f t="shared" si="31"/>
        <v>BAD</v>
      </c>
      <c r="S418">
        <f t="shared" si="32"/>
        <v>0</v>
      </c>
      <c r="T418">
        <f t="shared" si="33"/>
        <v>1</v>
      </c>
      <c r="U418" t="str">
        <f t="shared" si="34"/>
        <v>REVIEW_RETURN</v>
      </c>
    </row>
    <row r="419" spans="1:21">
      <c r="A419" t="s">
        <v>431</v>
      </c>
      <c r="B419" t="s">
        <v>4630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4961</v>
      </c>
      <c r="M419" t="s">
        <v>4282</v>
      </c>
      <c r="N419">
        <v>277.05</v>
      </c>
      <c r="O419" t="str">
        <f>IF((Sheet1[[#This Row],[Quantity]]*Sheet1[[#This Row],[UnitPrice]])=(Sheet1[[#This Row],[TotalPrice]]), "True", "False")</f>
        <v>True</v>
      </c>
      <c r="P419" t="str">
        <f>IF((Sheet1[[#This Row],[ItemsInCart]]&gt;=Sheet1[[#This Row],[Quantity]]), "Good", "Bad")</f>
        <v>Good</v>
      </c>
      <c r="Q419" t="str">
        <f t="shared" si="30"/>
        <v>OK</v>
      </c>
      <c r="R419" t="str">
        <f t="shared" si="31"/>
        <v>BAD</v>
      </c>
      <c r="S419">
        <f t="shared" si="32"/>
        <v>0</v>
      </c>
      <c r="T419">
        <f t="shared" si="33"/>
        <v>1</v>
      </c>
      <c r="U419" t="str">
        <f t="shared" si="34"/>
        <v>REVIEW_RETURN</v>
      </c>
    </row>
    <row r="420" spans="1:21">
      <c r="A420" t="s">
        <v>432</v>
      </c>
      <c r="B420" t="s">
        <v>4631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4961</v>
      </c>
      <c r="M420" t="s">
        <v>4281</v>
      </c>
      <c r="N420">
        <v>310.93</v>
      </c>
      <c r="O420" t="str">
        <f>IF((Sheet1[[#This Row],[Quantity]]*Sheet1[[#This Row],[UnitPrice]])=(Sheet1[[#This Row],[TotalPrice]]), "True", "False")</f>
        <v>True</v>
      </c>
      <c r="P420" t="str">
        <f>IF((Sheet1[[#This Row],[ItemsInCart]]&gt;=Sheet1[[#This Row],[Quantity]]), "Good", "Bad")</f>
        <v>Good</v>
      </c>
      <c r="Q420" t="str">
        <f t="shared" si="30"/>
        <v>OK</v>
      </c>
      <c r="R420" t="str">
        <f t="shared" si="31"/>
        <v>BAD</v>
      </c>
      <c r="S420">
        <f t="shared" si="32"/>
        <v>0</v>
      </c>
      <c r="T420">
        <f t="shared" si="33"/>
        <v>1</v>
      </c>
      <c r="U420" t="str">
        <f t="shared" si="34"/>
        <v>REVIEW_RETURN</v>
      </c>
    </row>
    <row r="421" spans="1:21">
      <c r="A421" t="s">
        <v>433</v>
      </c>
      <c r="B421" t="s">
        <v>4632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 t="str">
        <f>IF((Sheet1[[#This Row],[Quantity]]*Sheet1[[#This Row],[UnitPrice]])=(Sheet1[[#This Row],[TotalPrice]]), "True", "False")</f>
        <v>True</v>
      </c>
      <c r="P421" t="str">
        <f>IF((Sheet1[[#This Row],[ItemsInCart]]&gt;=Sheet1[[#This Row],[Quantity]]), "Good", "Bad")</f>
        <v>Good</v>
      </c>
      <c r="Q421" t="str">
        <f t="shared" si="30"/>
        <v>OK</v>
      </c>
      <c r="R421" t="str">
        <f t="shared" si="31"/>
        <v>BAD</v>
      </c>
      <c r="S421">
        <f t="shared" si="32"/>
        <v>0</v>
      </c>
      <c r="T421">
        <f t="shared" si="33"/>
        <v>1</v>
      </c>
      <c r="U421" t="str">
        <f t="shared" si="34"/>
        <v>DOCUMENTED</v>
      </c>
    </row>
    <row r="422" spans="1:21">
      <c r="A422" t="s">
        <v>434</v>
      </c>
      <c r="B422" t="s">
        <v>4633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 t="str">
        <f>IF((Sheet1[[#This Row],[Quantity]]*Sheet1[[#This Row],[UnitPrice]])=(Sheet1[[#This Row],[TotalPrice]]), "True", "False")</f>
        <v>True</v>
      </c>
      <c r="P422" t="str">
        <f>IF((Sheet1[[#This Row],[ItemsInCart]]&gt;=Sheet1[[#This Row],[Quantity]]), "Good", "Bad")</f>
        <v>Good</v>
      </c>
      <c r="Q422" t="str">
        <f t="shared" si="30"/>
        <v>OK</v>
      </c>
      <c r="R422" t="str">
        <f t="shared" si="31"/>
        <v>GOOD</v>
      </c>
      <c r="S422">
        <f t="shared" si="32"/>
        <v>0</v>
      </c>
      <c r="T422">
        <f t="shared" si="33"/>
        <v>0</v>
      </c>
      <c r="U422" t="str">
        <f t="shared" si="34"/>
        <v>OK</v>
      </c>
    </row>
    <row r="423" spans="1:21">
      <c r="A423" t="s">
        <v>435</v>
      </c>
      <c r="B423" t="s">
        <v>4286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4961</v>
      </c>
      <c r="M423" t="s">
        <v>4280</v>
      </c>
      <c r="N423">
        <v>576.41999999999996</v>
      </c>
      <c r="O423" t="str">
        <f>IF((Sheet1[[#This Row],[Quantity]]*Sheet1[[#This Row],[UnitPrice]])=(Sheet1[[#This Row],[TotalPrice]]), "True", "False")</f>
        <v>True</v>
      </c>
      <c r="P423" t="str">
        <f>IF((Sheet1[[#This Row],[ItemsInCart]]&gt;=Sheet1[[#This Row],[Quantity]]), "Good", "Bad")</f>
        <v>Good</v>
      </c>
      <c r="Q423" t="str">
        <f t="shared" si="30"/>
        <v>OK</v>
      </c>
      <c r="R423" t="str">
        <f t="shared" si="31"/>
        <v>BAD</v>
      </c>
      <c r="S423">
        <f t="shared" si="32"/>
        <v>0</v>
      </c>
      <c r="T423">
        <f t="shared" si="33"/>
        <v>1</v>
      </c>
      <c r="U423" t="str">
        <f t="shared" si="34"/>
        <v>REVIEW_RETURN</v>
      </c>
    </row>
    <row r="424" spans="1:21">
      <c r="A424" t="s">
        <v>436</v>
      </c>
      <c r="B424" t="s">
        <v>4315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 t="str">
        <f>IF((Sheet1[[#This Row],[Quantity]]*Sheet1[[#This Row],[UnitPrice]])=(Sheet1[[#This Row],[TotalPrice]]), "True", "False")</f>
        <v>True</v>
      </c>
      <c r="P424" t="str">
        <f>IF((Sheet1[[#This Row],[ItemsInCart]]&gt;=Sheet1[[#This Row],[Quantity]]), "Good", "Bad")</f>
        <v>Good</v>
      </c>
      <c r="Q424" t="str">
        <f t="shared" si="30"/>
        <v>OK</v>
      </c>
      <c r="R424" t="str">
        <f t="shared" si="31"/>
        <v>GOOD</v>
      </c>
      <c r="S424">
        <f t="shared" si="32"/>
        <v>0</v>
      </c>
      <c r="T424">
        <f t="shared" si="33"/>
        <v>0</v>
      </c>
      <c r="U424" t="str">
        <f t="shared" si="34"/>
        <v>OK</v>
      </c>
    </row>
    <row r="425" spans="1:21">
      <c r="A425" t="s">
        <v>437</v>
      </c>
      <c r="B425" t="s">
        <v>4634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 t="str">
        <f>IF((Sheet1[[#This Row],[Quantity]]*Sheet1[[#This Row],[UnitPrice]])=(Sheet1[[#This Row],[TotalPrice]]), "True", "False")</f>
        <v>True</v>
      </c>
      <c r="P425" t="str">
        <f>IF((Sheet1[[#This Row],[ItemsInCart]]&gt;=Sheet1[[#This Row],[Quantity]]), "Good", "Bad")</f>
        <v>Good</v>
      </c>
      <c r="Q425" t="str">
        <f t="shared" si="30"/>
        <v>OK</v>
      </c>
      <c r="R425" t="str">
        <f t="shared" si="31"/>
        <v>BAD</v>
      </c>
      <c r="S425">
        <f t="shared" si="32"/>
        <v>0</v>
      </c>
      <c r="T425">
        <f t="shared" si="33"/>
        <v>1</v>
      </c>
      <c r="U425" t="str">
        <f t="shared" si="34"/>
        <v>REVIEW_RETURN</v>
      </c>
    </row>
    <row r="426" spans="1:21">
      <c r="A426" t="s">
        <v>438</v>
      </c>
      <c r="B426" t="s">
        <v>4635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4961</v>
      </c>
      <c r="M426" t="s">
        <v>4280</v>
      </c>
      <c r="N426">
        <v>114.7</v>
      </c>
      <c r="O426" t="str">
        <f>IF((Sheet1[[#This Row],[Quantity]]*Sheet1[[#This Row],[UnitPrice]])=(Sheet1[[#This Row],[TotalPrice]]), "True", "False")</f>
        <v>True</v>
      </c>
      <c r="P426" t="str">
        <f>IF((Sheet1[[#This Row],[ItemsInCart]]&gt;=Sheet1[[#This Row],[Quantity]]), "Good", "Bad")</f>
        <v>Good</v>
      </c>
      <c r="Q426" t="str">
        <f t="shared" si="30"/>
        <v>OK</v>
      </c>
      <c r="R426" t="str">
        <f t="shared" si="31"/>
        <v>BAD</v>
      </c>
      <c r="S426">
        <f t="shared" si="32"/>
        <v>0</v>
      </c>
      <c r="T426">
        <f t="shared" si="33"/>
        <v>1</v>
      </c>
      <c r="U426" t="str">
        <f t="shared" si="34"/>
        <v>DOCUMENTED</v>
      </c>
    </row>
    <row r="427" spans="1:21">
      <c r="A427" t="s">
        <v>439</v>
      </c>
      <c r="B427" t="s">
        <v>4621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 t="str">
        <f>IF((Sheet1[[#This Row],[Quantity]]*Sheet1[[#This Row],[UnitPrice]])=(Sheet1[[#This Row],[TotalPrice]]), "True", "False")</f>
        <v>True</v>
      </c>
      <c r="P427" t="str">
        <f>IF((Sheet1[[#This Row],[ItemsInCart]]&gt;=Sheet1[[#This Row],[Quantity]]), "Good", "Bad")</f>
        <v>Good</v>
      </c>
      <c r="Q427" t="str">
        <f t="shared" si="30"/>
        <v>OK</v>
      </c>
      <c r="R427" t="str">
        <f t="shared" si="31"/>
        <v>GOOD</v>
      </c>
      <c r="S427">
        <f t="shared" si="32"/>
        <v>0</v>
      </c>
      <c r="T427">
        <f t="shared" si="33"/>
        <v>0</v>
      </c>
      <c r="U427" t="str">
        <f t="shared" si="34"/>
        <v>OK</v>
      </c>
    </row>
    <row r="428" spans="1:21">
      <c r="A428" t="s">
        <v>440</v>
      </c>
      <c r="B428" t="s">
        <v>4636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4961</v>
      </c>
      <c r="M428" t="s">
        <v>4281</v>
      </c>
      <c r="N428">
        <v>287.25</v>
      </c>
      <c r="O428" t="str">
        <f>IF((Sheet1[[#This Row],[Quantity]]*Sheet1[[#This Row],[UnitPrice]])=(Sheet1[[#This Row],[TotalPrice]]), "True", "False")</f>
        <v>True</v>
      </c>
      <c r="P428" t="str">
        <f>IF((Sheet1[[#This Row],[ItemsInCart]]&gt;=Sheet1[[#This Row],[Quantity]]), "Good", "Bad")</f>
        <v>Good</v>
      </c>
      <c r="Q428" t="str">
        <f t="shared" si="30"/>
        <v>OK</v>
      </c>
      <c r="R428" t="str">
        <f t="shared" si="31"/>
        <v>BAD</v>
      </c>
      <c r="S428">
        <f t="shared" si="32"/>
        <v>0</v>
      </c>
      <c r="T428">
        <f t="shared" si="33"/>
        <v>1</v>
      </c>
      <c r="U428" t="str">
        <f t="shared" si="34"/>
        <v>REVIEW_RETURN</v>
      </c>
    </row>
    <row r="429" spans="1:21">
      <c r="A429" t="s">
        <v>441</v>
      </c>
      <c r="B429" t="s">
        <v>4427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 t="str">
        <f>IF((Sheet1[[#This Row],[Quantity]]*Sheet1[[#This Row],[UnitPrice]])=(Sheet1[[#This Row],[TotalPrice]]), "True", "False")</f>
        <v>True</v>
      </c>
      <c r="P429" t="str">
        <f>IF((Sheet1[[#This Row],[ItemsInCart]]&gt;=Sheet1[[#This Row],[Quantity]]), "Good", "Bad")</f>
        <v>Good</v>
      </c>
      <c r="Q429" t="str">
        <f t="shared" si="30"/>
        <v>OK</v>
      </c>
      <c r="R429" t="str">
        <f t="shared" si="31"/>
        <v>BAD</v>
      </c>
      <c r="S429">
        <f t="shared" si="32"/>
        <v>0</v>
      </c>
      <c r="T429">
        <f t="shared" si="33"/>
        <v>1</v>
      </c>
      <c r="U429" t="str">
        <f t="shared" si="34"/>
        <v>DOCUMENTED</v>
      </c>
    </row>
    <row r="430" spans="1:21">
      <c r="A430" t="s">
        <v>442</v>
      </c>
      <c r="B430" t="s">
        <v>4413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 t="str">
        <f>IF((Sheet1[[#This Row],[Quantity]]*Sheet1[[#This Row],[UnitPrice]])=(Sheet1[[#This Row],[TotalPrice]]), "True", "False")</f>
        <v>True</v>
      </c>
      <c r="P430" t="str">
        <f>IF((Sheet1[[#This Row],[ItemsInCart]]&gt;=Sheet1[[#This Row],[Quantity]]), "Good", "Bad")</f>
        <v>Good</v>
      </c>
      <c r="Q430" t="str">
        <f t="shared" si="30"/>
        <v>OK</v>
      </c>
      <c r="R430" t="str">
        <f t="shared" si="31"/>
        <v>BAD</v>
      </c>
      <c r="S430">
        <f t="shared" si="32"/>
        <v>0</v>
      </c>
      <c r="T430">
        <f t="shared" si="33"/>
        <v>1</v>
      </c>
      <c r="U430" t="str">
        <f t="shared" si="34"/>
        <v>REVIEW_RETURN</v>
      </c>
    </row>
    <row r="431" spans="1:21">
      <c r="A431" t="s">
        <v>443</v>
      </c>
      <c r="B431" t="s">
        <v>4319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 t="str">
        <f>IF((Sheet1[[#This Row],[Quantity]]*Sheet1[[#This Row],[UnitPrice]])=(Sheet1[[#This Row],[TotalPrice]]), "True", "False")</f>
        <v>True</v>
      </c>
      <c r="P431" t="str">
        <f>IF((Sheet1[[#This Row],[ItemsInCart]]&gt;=Sheet1[[#This Row],[Quantity]]), "Good", "Bad")</f>
        <v>Good</v>
      </c>
      <c r="Q431" t="str">
        <f t="shared" si="30"/>
        <v>OK</v>
      </c>
      <c r="R431" t="str">
        <f t="shared" si="31"/>
        <v>BAD</v>
      </c>
      <c r="S431">
        <f t="shared" si="32"/>
        <v>0</v>
      </c>
      <c r="T431">
        <f t="shared" si="33"/>
        <v>1</v>
      </c>
      <c r="U431" t="str">
        <f t="shared" si="34"/>
        <v>DOCUMENTED</v>
      </c>
    </row>
    <row r="432" spans="1:21">
      <c r="A432" t="s">
        <v>444</v>
      </c>
      <c r="B432" t="s">
        <v>4606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 t="str">
        <f>IF((Sheet1[[#This Row],[Quantity]]*Sheet1[[#This Row],[UnitPrice]])=(Sheet1[[#This Row],[TotalPrice]]), "True", "False")</f>
        <v>True</v>
      </c>
      <c r="P432" t="str">
        <f>IF((Sheet1[[#This Row],[ItemsInCart]]&gt;=Sheet1[[#This Row],[Quantity]]), "Good", "Bad")</f>
        <v>Good</v>
      </c>
      <c r="Q432" t="str">
        <f t="shared" si="30"/>
        <v>OK</v>
      </c>
      <c r="R432" t="str">
        <f t="shared" si="31"/>
        <v>GOOD</v>
      </c>
      <c r="S432">
        <f t="shared" si="32"/>
        <v>0</v>
      </c>
      <c r="T432">
        <f t="shared" si="33"/>
        <v>0</v>
      </c>
      <c r="U432" t="str">
        <f t="shared" si="34"/>
        <v>OK</v>
      </c>
    </row>
    <row r="433" spans="1:21">
      <c r="A433" t="s">
        <v>445</v>
      </c>
      <c r="B433" t="s">
        <v>4637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 t="str">
        <f>IF((Sheet1[[#This Row],[Quantity]]*Sheet1[[#This Row],[UnitPrice]])=(Sheet1[[#This Row],[TotalPrice]]), "True", "False")</f>
        <v>True</v>
      </c>
      <c r="P433" t="str">
        <f>IF((Sheet1[[#This Row],[ItemsInCart]]&gt;=Sheet1[[#This Row],[Quantity]]), "Good", "Bad")</f>
        <v>Good</v>
      </c>
      <c r="Q433" t="str">
        <f t="shared" si="30"/>
        <v>OK</v>
      </c>
      <c r="R433" t="str">
        <f t="shared" si="31"/>
        <v>BAD</v>
      </c>
      <c r="S433">
        <f t="shared" si="32"/>
        <v>0</v>
      </c>
      <c r="T433">
        <f t="shared" si="33"/>
        <v>1</v>
      </c>
      <c r="U433" t="str">
        <f t="shared" si="34"/>
        <v>REVIEW_RETURN</v>
      </c>
    </row>
    <row r="434" spans="1:21">
      <c r="A434" t="s">
        <v>446</v>
      </c>
      <c r="B434" t="s">
        <v>4638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4961</v>
      </c>
      <c r="M434" t="s">
        <v>4279</v>
      </c>
      <c r="N434">
        <v>848.64</v>
      </c>
      <c r="O434" t="str">
        <f>IF((Sheet1[[#This Row],[Quantity]]*Sheet1[[#This Row],[UnitPrice]])=(Sheet1[[#This Row],[TotalPrice]]), "True", "False")</f>
        <v>True</v>
      </c>
      <c r="P434" t="str">
        <f>IF((Sheet1[[#This Row],[ItemsInCart]]&gt;=Sheet1[[#This Row],[Quantity]]), "Good", "Bad")</f>
        <v>Good</v>
      </c>
      <c r="Q434" t="str">
        <f t="shared" si="30"/>
        <v>OK</v>
      </c>
      <c r="R434" t="str">
        <f t="shared" si="31"/>
        <v>GOOD</v>
      </c>
      <c r="S434">
        <f t="shared" si="32"/>
        <v>0</v>
      </c>
      <c r="T434">
        <f t="shared" si="33"/>
        <v>0</v>
      </c>
      <c r="U434" t="str">
        <f t="shared" si="34"/>
        <v>OK</v>
      </c>
    </row>
    <row r="435" spans="1:21">
      <c r="A435" t="s">
        <v>447</v>
      </c>
      <c r="B435" t="s">
        <v>4329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 t="str">
        <f>IF((Sheet1[[#This Row],[Quantity]]*Sheet1[[#This Row],[UnitPrice]])=(Sheet1[[#This Row],[TotalPrice]]), "True", "False")</f>
        <v>True</v>
      </c>
      <c r="P435" t="str">
        <f>IF((Sheet1[[#This Row],[ItemsInCart]]&gt;=Sheet1[[#This Row],[Quantity]]), "Good", "Bad")</f>
        <v>Good</v>
      </c>
      <c r="Q435" t="str">
        <f t="shared" si="30"/>
        <v>OK</v>
      </c>
      <c r="R435" t="str">
        <f t="shared" si="31"/>
        <v>GOOD</v>
      </c>
      <c r="S435">
        <f t="shared" si="32"/>
        <v>0</v>
      </c>
      <c r="T435">
        <f t="shared" si="33"/>
        <v>0</v>
      </c>
      <c r="U435" t="str">
        <f t="shared" si="34"/>
        <v>OK</v>
      </c>
    </row>
    <row r="436" spans="1:21">
      <c r="A436" t="s">
        <v>448</v>
      </c>
      <c r="B436" t="s">
        <v>4639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4961</v>
      </c>
      <c r="M436" t="s">
        <v>4281</v>
      </c>
      <c r="N436">
        <v>1638.4</v>
      </c>
      <c r="O436" t="str">
        <f>IF((Sheet1[[#This Row],[Quantity]]*Sheet1[[#This Row],[UnitPrice]])=(Sheet1[[#This Row],[TotalPrice]]), "True", "False")</f>
        <v>True</v>
      </c>
      <c r="P436" t="str">
        <f>IF((Sheet1[[#This Row],[ItemsInCart]]&gt;=Sheet1[[#This Row],[Quantity]]), "Good", "Bad")</f>
        <v>Good</v>
      </c>
      <c r="Q436" t="str">
        <f t="shared" si="30"/>
        <v>OK</v>
      </c>
      <c r="R436" t="str">
        <f t="shared" si="31"/>
        <v>GOOD</v>
      </c>
      <c r="S436">
        <f t="shared" si="32"/>
        <v>0</v>
      </c>
      <c r="T436">
        <f t="shared" si="33"/>
        <v>0</v>
      </c>
      <c r="U436" t="str">
        <f t="shared" si="34"/>
        <v>OK</v>
      </c>
    </row>
    <row r="437" spans="1:21">
      <c r="A437" t="s">
        <v>449</v>
      </c>
      <c r="B437" t="s">
        <v>4439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 t="str">
        <f>IF((Sheet1[[#This Row],[Quantity]]*Sheet1[[#This Row],[UnitPrice]])=(Sheet1[[#This Row],[TotalPrice]]), "True", "False")</f>
        <v>True</v>
      </c>
      <c r="P437" t="str">
        <f>IF((Sheet1[[#This Row],[ItemsInCart]]&gt;=Sheet1[[#This Row],[Quantity]]), "Good", "Bad")</f>
        <v>Good</v>
      </c>
      <c r="Q437" t="str">
        <f t="shared" si="30"/>
        <v>OK</v>
      </c>
      <c r="R437" t="str">
        <f t="shared" si="31"/>
        <v>GOOD</v>
      </c>
      <c r="S437">
        <f t="shared" si="32"/>
        <v>0</v>
      </c>
      <c r="T437">
        <f t="shared" si="33"/>
        <v>0</v>
      </c>
      <c r="U437" t="str">
        <f t="shared" si="34"/>
        <v>OK</v>
      </c>
    </row>
    <row r="438" spans="1:21">
      <c r="A438" t="s">
        <v>450</v>
      </c>
      <c r="B438" t="s">
        <v>4374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4961</v>
      </c>
      <c r="M438" t="s">
        <v>4282</v>
      </c>
      <c r="N438">
        <v>885.32</v>
      </c>
      <c r="O438" t="str">
        <f>IF((Sheet1[[#This Row],[Quantity]]*Sheet1[[#This Row],[UnitPrice]])=(Sheet1[[#This Row],[TotalPrice]]), "True", "False")</f>
        <v>True</v>
      </c>
      <c r="P438" t="str">
        <f>IF((Sheet1[[#This Row],[ItemsInCart]]&gt;=Sheet1[[#This Row],[Quantity]]), "Good", "Bad")</f>
        <v>Good</v>
      </c>
      <c r="Q438" t="str">
        <f t="shared" si="30"/>
        <v>OK</v>
      </c>
      <c r="R438" t="str">
        <f t="shared" si="31"/>
        <v>BAD</v>
      </c>
      <c r="S438">
        <f t="shared" si="32"/>
        <v>0</v>
      </c>
      <c r="T438">
        <f t="shared" si="33"/>
        <v>1</v>
      </c>
      <c r="U438" t="str">
        <f t="shared" si="34"/>
        <v>DOCUMENTED</v>
      </c>
    </row>
    <row r="439" spans="1:21">
      <c r="A439" t="s">
        <v>451</v>
      </c>
      <c r="B439" t="s">
        <v>4454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 t="str">
        <f>IF((Sheet1[[#This Row],[Quantity]]*Sheet1[[#This Row],[UnitPrice]])=(Sheet1[[#This Row],[TotalPrice]]), "True", "False")</f>
        <v>True</v>
      </c>
      <c r="P439" t="str">
        <f>IF((Sheet1[[#This Row],[ItemsInCart]]&gt;=Sheet1[[#This Row],[Quantity]]), "Good", "Bad")</f>
        <v>Good</v>
      </c>
      <c r="Q439" t="str">
        <f t="shared" si="30"/>
        <v>OK</v>
      </c>
      <c r="R439" t="str">
        <f t="shared" si="31"/>
        <v>GOOD</v>
      </c>
      <c r="S439">
        <f t="shared" si="32"/>
        <v>0</v>
      </c>
      <c r="T439">
        <f t="shared" si="33"/>
        <v>0</v>
      </c>
      <c r="U439" t="str">
        <f t="shared" si="34"/>
        <v>OK</v>
      </c>
    </row>
    <row r="440" spans="1:21">
      <c r="A440" t="s">
        <v>452</v>
      </c>
      <c r="B440" t="s">
        <v>4478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 t="str">
        <f>IF((Sheet1[[#This Row],[Quantity]]*Sheet1[[#This Row],[UnitPrice]])=(Sheet1[[#This Row],[TotalPrice]]), "True", "False")</f>
        <v>True</v>
      </c>
      <c r="P440" t="str">
        <f>IF((Sheet1[[#This Row],[ItemsInCart]]&gt;=Sheet1[[#This Row],[Quantity]]), "Good", "Bad")</f>
        <v>Good</v>
      </c>
      <c r="Q440" t="str">
        <f t="shared" si="30"/>
        <v>OK</v>
      </c>
      <c r="R440" t="str">
        <f t="shared" si="31"/>
        <v>BAD</v>
      </c>
      <c r="S440">
        <f t="shared" si="32"/>
        <v>0</v>
      </c>
      <c r="T440">
        <f t="shared" si="33"/>
        <v>1</v>
      </c>
      <c r="U440" t="str">
        <f t="shared" si="34"/>
        <v>DOCUMENTED</v>
      </c>
    </row>
    <row r="441" spans="1:21">
      <c r="A441" t="s">
        <v>453</v>
      </c>
      <c r="B441" t="s">
        <v>4333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 t="str">
        <f>IF((Sheet1[[#This Row],[Quantity]]*Sheet1[[#This Row],[UnitPrice]])=(Sheet1[[#This Row],[TotalPrice]]), "True", "False")</f>
        <v>True</v>
      </c>
      <c r="P441" t="str">
        <f>IF((Sheet1[[#This Row],[ItemsInCart]]&gt;=Sheet1[[#This Row],[Quantity]]), "Good", "Bad")</f>
        <v>Good</v>
      </c>
      <c r="Q441" t="str">
        <f t="shared" si="30"/>
        <v>OK</v>
      </c>
      <c r="R441" t="str">
        <f t="shared" si="31"/>
        <v>GOOD</v>
      </c>
      <c r="S441">
        <f t="shared" si="32"/>
        <v>0</v>
      </c>
      <c r="T441">
        <f t="shared" si="33"/>
        <v>0</v>
      </c>
      <c r="U441" t="str">
        <f t="shared" si="34"/>
        <v>OK</v>
      </c>
    </row>
    <row r="442" spans="1:21">
      <c r="A442" t="s">
        <v>454</v>
      </c>
      <c r="B442" t="s">
        <v>4640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 t="str">
        <f>IF((Sheet1[[#This Row],[Quantity]]*Sheet1[[#This Row],[UnitPrice]])=(Sheet1[[#This Row],[TotalPrice]]), "True", "False")</f>
        <v>True</v>
      </c>
      <c r="P442" t="str">
        <f>IF((Sheet1[[#This Row],[ItemsInCart]]&gt;=Sheet1[[#This Row],[Quantity]]), "Good", "Bad")</f>
        <v>Good</v>
      </c>
      <c r="Q442" t="str">
        <f t="shared" si="30"/>
        <v>OK</v>
      </c>
      <c r="R442" t="str">
        <f t="shared" si="31"/>
        <v>BAD</v>
      </c>
      <c r="S442">
        <f t="shared" si="32"/>
        <v>0</v>
      </c>
      <c r="T442">
        <f t="shared" si="33"/>
        <v>1</v>
      </c>
      <c r="U442" t="str">
        <f t="shared" si="34"/>
        <v>DOCUMENTED</v>
      </c>
    </row>
    <row r="443" spans="1:21">
      <c r="A443" t="s">
        <v>455</v>
      </c>
      <c r="B443" t="s">
        <v>4424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 t="str">
        <f>IF((Sheet1[[#This Row],[Quantity]]*Sheet1[[#This Row],[UnitPrice]])=(Sheet1[[#This Row],[TotalPrice]]), "True", "False")</f>
        <v>True</v>
      </c>
      <c r="P443" t="str">
        <f>IF((Sheet1[[#This Row],[ItemsInCart]]&gt;=Sheet1[[#This Row],[Quantity]]), "Good", "Bad")</f>
        <v>Good</v>
      </c>
      <c r="Q443" t="str">
        <f t="shared" si="30"/>
        <v>OK</v>
      </c>
      <c r="R443" t="str">
        <f t="shared" si="31"/>
        <v>GOOD</v>
      </c>
      <c r="S443">
        <f t="shared" si="32"/>
        <v>0</v>
      </c>
      <c r="T443">
        <f t="shared" si="33"/>
        <v>0</v>
      </c>
      <c r="U443" t="str">
        <f t="shared" si="34"/>
        <v>OK</v>
      </c>
    </row>
    <row r="444" spans="1:21">
      <c r="A444" t="s">
        <v>456</v>
      </c>
      <c r="B444" t="s">
        <v>4323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 t="str">
        <f>IF((Sheet1[[#This Row],[Quantity]]*Sheet1[[#This Row],[UnitPrice]])=(Sheet1[[#This Row],[TotalPrice]]), "True", "False")</f>
        <v>True</v>
      </c>
      <c r="P444" t="str">
        <f>IF((Sheet1[[#This Row],[ItemsInCart]]&gt;=Sheet1[[#This Row],[Quantity]]), "Good", "Bad")</f>
        <v>Good</v>
      </c>
      <c r="Q444" t="str">
        <f t="shared" si="30"/>
        <v>OK</v>
      </c>
      <c r="R444" t="str">
        <f t="shared" si="31"/>
        <v>BAD</v>
      </c>
      <c r="S444">
        <f t="shared" si="32"/>
        <v>0</v>
      </c>
      <c r="T444">
        <f t="shared" si="33"/>
        <v>1</v>
      </c>
      <c r="U444" t="str">
        <f t="shared" si="34"/>
        <v>DOCUMENTED</v>
      </c>
    </row>
    <row r="445" spans="1:21">
      <c r="A445" t="s">
        <v>457</v>
      </c>
      <c r="B445" t="s">
        <v>4641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4961</v>
      </c>
      <c r="M445" t="s">
        <v>4281</v>
      </c>
      <c r="N445">
        <v>139.28</v>
      </c>
      <c r="O445" t="str">
        <f>IF((Sheet1[[#This Row],[Quantity]]*Sheet1[[#This Row],[UnitPrice]])=(Sheet1[[#This Row],[TotalPrice]]), "True", "False")</f>
        <v>True</v>
      </c>
      <c r="P445" t="str">
        <f>IF((Sheet1[[#This Row],[ItemsInCart]]&gt;=Sheet1[[#This Row],[Quantity]]), "Good", "Bad")</f>
        <v>Good</v>
      </c>
      <c r="Q445" t="str">
        <f t="shared" si="30"/>
        <v>OK</v>
      </c>
      <c r="R445" t="str">
        <f t="shared" si="31"/>
        <v>GOOD</v>
      </c>
      <c r="S445">
        <f t="shared" si="32"/>
        <v>0</v>
      </c>
      <c r="T445">
        <f t="shared" si="33"/>
        <v>0</v>
      </c>
      <c r="U445" t="str">
        <f t="shared" si="34"/>
        <v>OK</v>
      </c>
    </row>
    <row r="446" spans="1:21">
      <c r="A446" t="s">
        <v>458</v>
      </c>
      <c r="B446" t="s">
        <v>4463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 t="str">
        <f>IF((Sheet1[[#This Row],[Quantity]]*Sheet1[[#This Row],[UnitPrice]])=(Sheet1[[#This Row],[TotalPrice]]), "True", "False")</f>
        <v>True</v>
      </c>
      <c r="P446" t="str">
        <f>IF((Sheet1[[#This Row],[ItemsInCart]]&gt;=Sheet1[[#This Row],[Quantity]]), "Good", "Bad")</f>
        <v>Good</v>
      </c>
      <c r="Q446" t="str">
        <f t="shared" si="30"/>
        <v>OK</v>
      </c>
      <c r="R446" t="str">
        <f t="shared" si="31"/>
        <v>GOOD</v>
      </c>
      <c r="S446">
        <f t="shared" si="32"/>
        <v>0</v>
      </c>
      <c r="T446">
        <f t="shared" si="33"/>
        <v>0</v>
      </c>
      <c r="U446" t="str">
        <f t="shared" si="34"/>
        <v>OK</v>
      </c>
    </row>
    <row r="447" spans="1:21">
      <c r="A447" t="s">
        <v>459</v>
      </c>
      <c r="B447" t="s">
        <v>4513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 t="str">
        <f>IF((Sheet1[[#This Row],[Quantity]]*Sheet1[[#This Row],[UnitPrice]])=(Sheet1[[#This Row],[TotalPrice]]), "True", "False")</f>
        <v>True</v>
      </c>
      <c r="P447" t="str">
        <f>IF((Sheet1[[#This Row],[ItemsInCart]]&gt;=Sheet1[[#This Row],[Quantity]]), "Good", "Bad")</f>
        <v>Good</v>
      </c>
      <c r="Q447" t="str">
        <f t="shared" si="30"/>
        <v>OK</v>
      </c>
      <c r="R447" t="str">
        <f t="shared" si="31"/>
        <v>GOOD</v>
      </c>
      <c r="S447">
        <f t="shared" si="32"/>
        <v>0</v>
      </c>
      <c r="T447">
        <f t="shared" si="33"/>
        <v>0</v>
      </c>
      <c r="U447" t="str">
        <f t="shared" si="34"/>
        <v>OK</v>
      </c>
    </row>
    <row r="448" spans="1:21">
      <c r="A448" t="s">
        <v>460</v>
      </c>
      <c r="B448" t="s">
        <v>4642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 t="str">
        <f>IF((Sheet1[[#This Row],[Quantity]]*Sheet1[[#This Row],[UnitPrice]])=(Sheet1[[#This Row],[TotalPrice]]), "True", "False")</f>
        <v>True</v>
      </c>
      <c r="P448" t="str">
        <f>IF((Sheet1[[#This Row],[ItemsInCart]]&gt;=Sheet1[[#This Row],[Quantity]]), "Good", "Bad")</f>
        <v>Good</v>
      </c>
      <c r="Q448" t="str">
        <f t="shared" si="30"/>
        <v>OK</v>
      </c>
      <c r="R448" t="str">
        <f t="shared" si="31"/>
        <v>GOOD</v>
      </c>
      <c r="S448">
        <f t="shared" si="32"/>
        <v>0</v>
      </c>
      <c r="T448">
        <f t="shared" si="33"/>
        <v>0</v>
      </c>
      <c r="U448" t="str">
        <f t="shared" si="34"/>
        <v>OK</v>
      </c>
    </row>
    <row r="449" spans="1:21">
      <c r="A449" t="s">
        <v>461</v>
      </c>
      <c r="B449" t="s">
        <v>4441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4961</v>
      </c>
      <c r="M449" t="s">
        <v>4281</v>
      </c>
      <c r="N449">
        <v>833.62</v>
      </c>
      <c r="O449" t="str">
        <f>IF((Sheet1[[#This Row],[Quantity]]*Sheet1[[#This Row],[UnitPrice]])=(Sheet1[[#This Row],[TotalPrice]]), "True", "False")</f>
        <v>True</v>
      </c>
      <c r="P449" t="str">
        <f>IF((Sheet1[[#This Row],[ItemsInCart]]&gt;=Sheet1[[#This Row],[Quantity]]), "Good", "Bad")</f>
        <v>Good</v>
      </c>
      <c r="Q449" t="str">
        <f t="shared" si="30"/>
        <v>OK</v>
      </c>
      <c r="R449" t="str">
        <f t="shared" si="31"/>
        <v>GOOD</v>
      </c>
      <c r="S449">
        <f t="shared" si="32"/>
        <v>0</v>
      </c>
      <c r="T449">
        <f t="shared" si="33"/>
        <v>0</v>
      </c>
      <c r="U449" t="str">
        <f t="shared" si="34"/>
        <v>OK</v>
      </c>
    </row>
    <row r="450" spans="1:21">
      <c r="A450" t="s">
        <v>462</v>
      </c>
      <c r="B450" t="s">
        <v>4638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 t="str">
        <f>IF((Sheet1[[#This Row],[Quantity]]*Sheet1[[#This Row],[UnitPrice]])=(Sheet1[[#This Row],[TotalPrice]]), "True", "False")</f>
        <v>True</v>
      </c>
      <c r="P450" t="str">
        <f>IF((Sheet1[[#This Row],[ItemsInCart]]&gt;=Sheet1[[#This Row],[Quantity]]), "Good", "Bad")</f>
        <v>Good</v>
      </c>
      <c r="Q450" t="str">
        <f t="shared" ref="Q450:Q513" si="35">IF(AND(E450&gt;0, F450&gt;0,N450&gt;0),"OK","INVALID")</f>
        <v>OK</v>
      </c>
      <c r="R450" t="str">
        <f t="shared" ref="R450:R513" si="36">IF(OR(AND(OR(I450="Shipped",I450="Delivered",I450="Returned"),J450=""),AND(OR(I450="Processing",I450="Pending",I450="Cancelled"),J450&lt;&gt;"")),"BAD","GOOD")</f>
        <v>BAD</v>
      </c>
      <c r="S450">
        <f t="shared" ref="S450:S513" si="37">IF(AND(OR(I450="Shipped",I450="Delivered",I450="Returned"),J450=""),1,0)</f>
        <v>0</v>
      </c>
      <c r="T450">
        <f t="shared" ref="T450:T513" si="38">IF(AND(OR(I450="Processing",I450="Pending",I450="Cancelled"),J450&lt;&gt;""),1,0)</f>
        <v>1</v>
      </c>
      <c r="U450" t="str">
        <f t="shared" ref="U450:U513" si="39">IF(AND(OR(I450="Shipped",I450="Delivered"),J450=""),"MISSING_TRACKING", IF(AND(OR(I450="Processing",I450="Pending"),J450&lt;&gt;""),"DOCUMENTED", IF(AND(I450="Cancelled",J450&lt;&gt;""), "REVIEW_RETURN", "OK")))</f>
        <v>DOCUMENTED</v>
      </c>
    </row>
    <row r="451" spans="1:21">
      <c r="A451" t="s">
        <v>463</v>
      </c>
      <c r="B451" t="s">
        <v>4643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4961</v>
      </c>
      <c r="M451" t="s">
        <v>4278</v>
      </c>
      <c r="N451">
        <v>759.15000000000009</v>
      </c>
      <c r="O451" t="str">
        <f>IF((Sheet1[[#This Row],[Quantity]]*Sheet1[[#This Row],[UnitPrice]])=(Sheet1[[#This Row],[TotalPrice]]), "True", "False")</f>
        <v>True</v>
      </c>
      <c r="P451" t="str">
        <f>IF((Sheet1[[#This Row],[ItemsInCart]]&gt;=Sheet1[[#This Row],[Quantity]]), "Good", "Bad")</f>
        <v>Good</v>
      </c>
      <c r="Q451" t="str">
        <f t="shared" si="35"/>
        <v>OK</v>
      </c>
      <c r="R451" t="str">
        <f t="shared" si="36"/>
        <v>BAD</v>
      </c>
      <c r="S451">
        <f t="shared" si="37"/>
        <v>0</v>
      </c>
      <c r="T451">
        <f t="shared" si="38"/>
        <v>1</v>
      </c>
      <c r="U451" t="str">
        <f t="shared" si="39"/>
        <v>DOCUMENTED</v>
      </c>
    </row>
    <row r="452" spans="1:21">
      <c r="A452" t="s">
        <v>464</v>
      </c>
      <c r="B452" t="s">
        <v>4644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 t="str">
        <f>IF((Sheet1[[#This Row],[Quantity]]*Sheet1[[#This Row],[UnitPrice]])=(Sheet1[[#This Row],[TotalPrice]]), "True", "False")</f>
        <v>True</v>
      </c>
      <c r="P452" t="str">
        <f>IF((Sheet1[[#This Row],[ItemsInCart]]&gt;=Sheet1[[#This Row],[Quantity]]), "Good", "Bad")</f>
        <v>Good</v>
      </c>
      <c r="Q452" t="str">
        <f t="shared" si="35"/>
        <v>OK</v>
      </c>
      <c r="R452" t="str">
        <f t="shared" si="36"/>
        <v>GOOD</v>
      </c>
      <c r="S452">
        <f t="shared" si="37"/>
        <v>0</v>
      </c>
      <c r="T452">
        <f t="shared" si="38"/>
        <v>0</v>
      </c>
      <c r="U452" t="str">
        <f t="shared" si="39"/>
        <v>OK</v>
      </c>
    </row>
    <row r="453" spans="1:21">
      <c r="A453" t="s">
        <v>465</v>
      </c>
      <c r="B453" t="s">
        <v>4645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 t="str">
        <f>IF((Sheet1[[#This Row],[Quantity]]*Sheet1[[#This Row],[UnitPrice]])=(Sheet1[[#This Row],[TotalPrice]]), "True", "False")</f>
        <v>True</v>
      </c>
      <c r="P453" t="str">
        <f>IF((Sheet1[[#This Row],[ItemsInCart]]&gt;=Sheet1[[#This Row],[Quantity]]), "Good", "Bad")</f>
        <v>Good</v>
      </c>
      <c r="Q453" t="str">
        <f t="shared" si="35"/>
        <v>OK</v>
      </c>
      <c r="R453" t="str">
        <f t="shared" si="36"/>
        <v>BAD</v>
      </c>
      <c r="S453">
        <f t="shared" si="37"/>
        <v>0</v>
      </c>
      <c r="T453">
        <f t="shared" si="38"/>
        <v>1</v>
      </c>
      <c r="U453" t="str">
        <f t="shared" si="39"/>
        <v>REVIEW_RETURN</v>
      </c>
    </row>
    <row r="454" spans="1:21">
      <c r="A454" t="s">
        <v>466</v>
      </c>
      <c r="B454" t="s">
        <v>4646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 t="str">
        <f>IF((Sheet1[[#This Row],[Quantity]]*Sheet1[[#This Row],[UnitPrice]])=(Sheet1[[#This Row],[TotalPrice]]), "True", "False")</f>
        <v>True</v>
      </c>
      <c r="P454" t="str">
        <f>IF((Sheet1[[#This Row],[ItemsInCart]]&gt;=Sheet1[[#This Row],[Quantity]]), "Good", "Bad")</f>
        <v>Good</v>
      </c>
      <c r="Q454" t="str">
        <f t="shared" si="35"/>
        <v>OK</v>
      </c>
      <c r="R454" t="str">
        <f t="shared" si="36"/>
        <v>BAD</v>
      </c>
      <c r="S454">
        <f t="shared" si="37"/>
        <v>0</v>
      </c>
      <c r="T454">
        <f t="shared" si="38"/>
        <v>1</v>
      </c>
      <c r="U454" t="str">
        <f t="shared" si="39"/>
        <v>DOCUMENTED</v>
      </c>
    </row>
    <row r="455" spans="1:21">
      <c r="A455" t="s">
        <v>467</v>
      </c>
      <c r="B455" t="s">
        <v>4484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 t="str">
        <f>IF((Sheet1[[#This Row],[Quantity]]*Sheet1[[#This Row],[UnitPrice]])=(Sheet1[[#This Row],[TotalPrice]]), "True", "False")</f>
        <v>True</v>
      </c>
      <c r="P455" t="str">
        <f>IF((Sheet1[[#This Row],[ItemsInCart]]&gt;=Sheet1[[#This Row],[Quantity]]), "Good", "Bad")</f>
        <v>Good</v>
      </c>
      <c r="Q455" t="str">
        <f t="shared" si="35"/>
        <v>OK</v>
      </c>
      <c r="R455" t="str">
        <f t="shared" si="36"/>
        <v>GOOD</v>
      </c>
      <c r="S455">
        <f t="shared" si="37"/>
        <v>0</v>
      </c>
      <c r="T455">
        <f t="shared" si="38"/>
        <v>0</v>
      </c>
      <c r="U455" t="str">
        <f t="shared" si="39"/>
        <v>OK</v>
      </c>
    </row>
    <row r="456" spans="1:21">
      <c r="A456" t="s">
        <v>468</v>
      </c>
      <c r="B456" t="s">
        <v>4647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 t="str">
        <f>IF((Sheet1[[#This Row],[Quantity]]*Sheet1[[#This Row],[UnitPrice]])=(Sheet1[[#This Row],[TotalPrice]]), "True", "False")</f>
        <v>True</v>
      </c>
      <c r="P456" t="str">
        <f>IF((Sheet1[[#This Row],[ItemsInCart]]&gt;=Sheet1[[#This Row],[Quantity]]), "Good", "Bad")</f>
        <v>Good</v>
      </c>
      <c r="Q456" t="str">
        <f t="shared" si="35"/>
        <v>OK</v>
      </c>
      <c r="R456" t="str">
        <f t="shared" si="36"/>
        <v>BAD</v>
      </c>
      <c r="S456">
        <f t="shared" si="37"/>
        <v>0</v>
      </c>
      <c r="T456">
        <f t="shared" si="38"/>
        <v>1</v>
      </c>
      <c r="U456" t="str">
        <f t="shared" si="39"/>
        <v>REVIEW_RETURN</v>
      </c>
    </row>
    <row r="457" spans="1:21">
      <c r="A457" t="s">
        <v>469</v>
      </c>
      <c r="B457" t="s">
        <v>4573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 t="str">
        <f>IF((Sheet1[[#This Row],[Quantity]]*Sheet1[[#This Row],[UnitPrice]])=(Sheet1[[#This Row],[TotalPrice]]), "True", "False")</f>
        <v>True</v>
      </c>
      <c r="P457" t="str">
        <f>IF((Sheet1[[#This Row],[ItemsInCart]]&gt;=Sheet1[[#This Row],[Quantity]]), "Good", "Bad")</f>
        <v>Good</v>
      </c>
      <c r="Q457" t="str">
        <f t="shared" si="35"/>
        <v>OK</v>
      </c>
      <c r="R457" t="str">
        <f t="shared" si="36"/>
        <v>BAD</v>
      </c>
      <c r="S457">
        <f t="shared" si="37"/>
        <v>0</v>
      </c>
      <c r="T457">
        <f t="shared" si="38"/>
        <v>1</v>
      </c>
      <c r="U457" t="str">
        <f t="shared" si="39"/>
        <v>DOCUMENTED</v>
      </c>
    </row>
    <row r="458" spans="1:21">
      <c r="A458" t="s">
        <v>470</v>
      </c>
      <c r="B458" t="s">
        <v>4648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 t="str">
        <f>IF((Sheet1[[#This Row],[Quantity]]*Sheet1[[#This Row],[UnitPrice]])=(Sheet1[[#This Row],[TotalPrice]]), "True", "False")</f>
        <v>True</v>
      </c>
      <c r="P458" t="str">
        <f>IF((Sheet1[[#This Row],[ItemsInCart]]&gt;=Sheet1[[#This Row],[Quantity]]), "Good", "Bad")</f>
        <v>Good</v>
      </c>
      <c r="Q458" t="str">
        <f t="shared" si="35"/>
        <v>OK</v>
      </c>
      <c r="R458" t="str">
        <f t="shared" si="36"/>
        <v>GOOD</v>
      </c>
      <c r="S458">
        <f t="shared" si="37"/>
        <v>0</v>
      </c>
      <c r="T458">
        <f t="shared" si="38"/>
        <v>0</v>
      </c>
      <c r="U458" t="str">
        <f t="shared" si="39"/>
        <v>OK</v>
      </c>
    </row>
    <row r="459" spans="1:21">
      <c r="A459" t="s">
        <v>471</v>
      </c>
      <c r="B459" t="s">
        <v>4649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 t="str">
        <f>IF((Sheet1[[#This Row],[Quantity]]*Sheet1[[#This Row],[UnitPrice]])=(Sheet1[[#This Row],[TotalPrice]]), "True", "False")</f>
        <v>True</v>
      </c>
      <c r="P459" t="str">
        <f>IF((Sheet1[[#This Row],[ItemsInCart]]&gt;=Sheet1[[#This Row],[Quantity]]), "Good", "Bad")</f>
        <v>Good</v>
      </c>
      <c r="Q459" t="str">
        <f t="shared" si="35"/>
        <v>OK</v>
      </c>
      <c r="R459" t="str">
        <f t="shared" si="36"/>
        <v>GOOD</v>
      </c>
      <c r="S459">
        <f t="shared" si="37"/>
        <v>0</v>
      </c>
      <c r="T459">
        <f t="shared" si="38"/>
        <v>0</v>
      </c>
      <c r="U459" t="str">
        <f t="shared" si="39"/>
        <v>OK</v>
      </c>
    </row>
    <row r="460" spans="1:21">
      <c r="A460" t="s">
        <v>472</v>
      </c>
      <c r="B460" t="s">
        <v>4650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 t="str">
        <f>IF((Sheet1[[#This Row],[Quantity]]*Sheet1[[#This Row],[UnitPrice]])=(Sheet1[[#This Row],[TotalPrice]]), "True", "False")</f>
        <v>True</v>
      </c>
      <c r="P460" t="str">
        <f>IF((Sheet1[[#This Row],[ItemsInCart]]&gt;=Sheet1[[#This Row],[Quantity]]), "Good", "Bad")</f>
        <v>Good</v>
      </c>
      <c r="Q460" t="str">
        <f t="shared" si="35"/>
        <v>OK</v>
      </c>
      <c r="R460" t="str">
        <f t="shared" si="36"/>
        <v>GOOD</v>
      </c>
      <c r="S460">
        <f t="shared" si="37"/>
        <v>0</v>
      </c>
      <c r="T460">
        <f t="shared" si="38"/>
        <v>0</v>
      </c>
      <c r="U460" t="str">
        <f t="shared" si="39"/>
        <v>OK</v>
      </c>
    </row>
    <row r="461" spans="1:21">
      <c r="A461" t="s">
        <v>473</v>
      </c>
      <c r="B461" t="s">
        <v>4308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4961</v>
      </c>
      <c r="M461" t="s">
        <v>4278</v>
      </c>
      <c r="N461">
        <v>334.39</v>
      </c>
      <c r="O461" t="str">
        <f>IF((Sheet1[[#This Row],[Quantity]]*Sheet1[[#This Row],[UnitPrice]])=(Sheet1[[#This Row],[TotalPrice]]), "True", "False")</f>
        <v>True</v>
      </c>
      <c r="P461" t="str">
        <f>IF((Sheet1[[#This Row],[ItemsInCart]]&gt;=Sheet1[[#This Row],[Quantity]]), "Good", "Bad")</f>
        <v>Good</v>
      </c>
      <c r="Q461" t="str">
        <f t="shared" si="35"/>
        <v>OK</v>
      </c>
      <c r="R461" t="str">
        <f t="shared" si="36"/>
        <v>GOOD</v>
      </c>
      <c r="S461">
        <f t="shared" si="37"/>
        <v>0</v>
      </c>
      <c r="T461">
        <f t="shared" si="38"/>
        <v>0</v>
      </c>
      <c r="U461" t="str">
        <f t="shared" si="39"/>
        <v>OK</v>
      </c>
    </row>
    <row r="462" spans="1:21">
      <c r="A462" t="s">
        <v>474</v>
      </c>
      <c r="B462" t="s">
        <v>4637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 t="str">
        <f>IF((Sheet1[[#This Row],[Quantity]]*Sheet1[[#This Row],[UnitPrice]])=(Sheet1[[#This Row],[TotalPrice]]), "True", "False")</f>
        <v>True</v>
      </c>
      <c r="P462" t="str">
        <f>IF((Sheet1[[#This Row],[ItemsInCart]]&gt;=Sheet1[[#This Row],[Quantity]]), "Good", "Bad")</f>
        <v>Good</v>
      </c>
      <c r="Q462" t="str">
        <f t="shared" si="35"/>
        <v>OK</v>
      </c>
      <c r="R462" t="str">
        <f t="shared" si="36"/>
        <v>GOOD</v>
      </c>
      <c r="S462">
        <f t="shared" si="37"/>
        <v>0</v>
      </c>
      <c r="T462">
        <f t="shared" si="38"/>
        <v>0</v>
      </c>
      <c r="U462" t="str">
        <f t="shared" si="39"/>
        <v>OK</v>
      </c>
    </row>
    <row r="463" spans="1:21">
      <c r="A463" t="s">
        <v>475</v>
      </c>
      <c r="B463" t="s">
        <v>4463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 t="str">
        <f>IF((Sheet1[[#This Row],[Quantity]]*Sheet1[[#This Row],[UnitPrice]])=(Sheet1[[#This Row],[TotalPrice]]), "True", "False")</f>
        <v>True</v>
      </c>
      <c r="P463" t="str">
        <f>IF((Sheet1[[#This Row],[ItemsInCart]]&gt;=Sheet1[[#This Row],[Quantity]]), "Good", "Bad")</f>
        <v>Good</v>
      </c>
      <c r="Q463" t="str">
        <f t="shared" si="35"/>
        <v>OK</v>
      </c>
      <c r="R463" t="str">
        <f t="shared" si="36"/>
        <v>GOOD</v>
      </c>
      <c r="S463">
        <f t="shared" si="37"/>
        <v>0</v>
      </c>
      <c r="T463">
        <f t="shared" si="38"/>
        <v>0</v>
      </c>
      <c r="U463" t="str">
        <f t="shared" si="39"/>
        <v>OK</v>
      </c>
    </row>
    <row r="464" spans="1:21">
      <c r="A464" t="s">
        <v>476</v>
      </c>
      <c r="B464" t="s">
        <v>4651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4961</v>
      </c>
      <c r="M464" t="s">
        <v>4279</v>
      </c>
      <c r="N464">
        <v>252.68</v>
      </c>
      <c r="O464" t="str">
        <f>IF((Sheet1[[#This Row],[Quantity]]*Sheet1[[#This Row],[UnitPrice]])=(Sheet1[[#This Row],[TotalPrice]]), "True", "False")</f>
        <v>True</v>
      </c>
      <c r="P464" t="str">
        <f>IF((Sheet1[[#This Row],[ItemsInCart]]&gt;=Sheet1[[#This Row],[Quantity]]), "Good", "Bad")</f>
        <v>Good</v>
      </c>
      <c r="Q464" t="str">
        <f t="shared" si="35"/>
        <v>OK</v>
      </c>
      <c r="R464" t="str">
        <f t="shared" si="36"/>
        <v>BAD</v>
      </c>
      <c r="S464">
        <f t="shared" si="37"/>
        <v>0</v>
      </c>
      <c r="T464">
        <f t="shared" si="38"/>
        <v>1</v>
      </c>
      <c r="U464" t="str">
        <f t="shared" si="39"/>
        <v>REVIEW_RETURN</v>
      </c>
    </row>
    <row r="465" spans="1:21">
      <c r="A465" t="s">
        <v>477</v>
      </c>
      <c r="B465" t="s">
        <v>4351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 t="str">
        <f>IF((Sheet1[[#This Row],[Quantity]]*Sheet1[[#This Row],[UnitPrice]])=(Sheet1[[#This Row],[TotalPrice]]), "True", "False")</f>
        <v>True</v>
      </c>
      <c r="P465" t="str">
        <f>IF((Sheet1[[#This Row],[ItemsInCart]]&gt;=Sheet1[[#This Row],[Quantity]]), "Good", "Bad")</f>
        <v>Good</v>
      </c>
      <c r="Q465" t="str">
        <f t="shared" si="35"/>
        <v>OK</v>
      </c>
      <c r="R465" t="str">
        <f t="shared" si="36"/>
        <v>GOOD</v>
      </c>
      <c r="S465">
        <f t="shared" si="37"/>
        <v>0</v>
      </c>
      <c r="T465">
        <f t="shared" si="38"/>
        <v>0</v>
      </c>
      <c r="U465" t="str">
        <f t="shared" si="39"/>
        <v>OK</v>
      </c>
    </row>
    <row r="466" spans="1:21">
      <c r="A466" t="s">
        <v>478</v>
      </c>
      <c r="B466" t="s">
        <v>4652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 t="str">
        <f>IF((Sheet1[[#This Row],[Quantity]]*Sheet1[[#This Row],[UnitPrice]])=(Sheet1[[#This Row],[TotalPrice]]), "True", "False")</f>
        <v>True</v>
      </c>
      <c r="P466" t="str">
        <f>IF((Sheet1[[#This Row],[ItemsInCart]]&gt;=Sheet1[[#This Row],[Quantity]]), "Good", "Bad")</f>
        <v>Good</v>
      </c>
      <c r="Q466" t="str">
        <f t="shared" si="35"/>
        <v>OK</v>
      </c>
      <c r="R466" t="str">
        <f t="shared" si="36"/>
        <v>BAD</v>
      </c>
      <c r="S466">
        <f t="shared" si="37"/>
        <v>0</v>
      </c>
      <c r="T466">
        <f t="shared" si="38"/>
        <v>1</v>
      </c>
      <c r="U466" t="str">
        <f t="shared" si="39"/>
        <v>REVIEW_RETURN</v>
      </c>
    </row>
    <row r="467" spans="1:21">
      <c r="A467" t="s">
        <v>479</v>
      </c>
      <c r="B467" t="s">
        <v>4518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4961</v>
      </c>
      <c r="M467" t="s">
        <v>4282</v>
      </c>
      <c r="N467">
        <v>2567.4499999999998</v>
      </c>
      <c r="O467" t="str">
        <f>IF((Sheet1[[#This Row],[Quantity]]*Sheet1[[#This Row],[UnitPrice]])=(Sheet1[[#This Row],[TotalPrice]]), "True", "False")</f>
        <v>True</v>
      </c>
      <c r="P467" t="str">
        <f>IF((Sheet1[[#This Row],[ItemsInCart]]&gt;=Sheet1[[#This Row],[Quantity]]), "Good", "Bad")</f>
        <v>Good</v>
      </c>
      <c r="Q467" t="str">
        <f t="shared" si="35"/>
        <v>OK</v>
      </c>
      <c r="R467" t="str">
        <f t="shared" si="36"/>
        <v>BAD</v>
      </c>
      <c r="S467">
        <f t="shared" si="37"/>
        <v>0</v>
      </c>
      <c r="T467">
        <f t="shared" si="38"/>
        <v>1</v>
      </c>
      <c r="U467" t="str">
        <f t="shared" si="39"/>
        <v>REVIEW_RETURN</v>
      </c>
    </row>
    <row r="468" spans="1:21">
      <c r="A468" t="s">
        <v>480</v>
      </c>
      <c r="B468" t="s">
        <v>4485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 t="str">
        <f>IF((Sheet1[[#This Row],[Quantity]]*Sheet1[[#This Row],[UnitPrice]])=(Sheet1[[#This Row],[TotalPrice]]), "True", "False")</f>
        <v>True</v>
      </c>
      <c r="P468" t="str">
        <f>IF((Sheet1[[#This Row],[ItemsInCart]]&gt;=Sheet1[[#This Row],[Quantity]]), "Good", "Bad")</f>
        <v>Good</v>
      </c>
      <c r="Q468" t="str">
        <f t="shared" si="35"/>
        <v>OK</v>
      </c>
      <c r="R468" t="str">
        <f t="shared" si="36"/>
        <v>GOOD</v>
      </c>
      <c r="S468">
        <f t="shared" si="37"/>
        <v>0</v>
      </c>
      <c r="T468">
        <f t="shared" si="38"/>
        <v>0</v>
      </c>
      <c r="U468" t="str">
        <f t="shared" si="39"/>
        <v>OK</v>
      </c>
    </row>
    <row r="469" spans="1:21">
      <c r="A469" t="s">
        <v>481</v>
      </c>
      <c r="B469" t="s">
        <v>4508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 t="str">
        <f>IF((Sheet1[[#This Row],[Quantity]]*Sheet1[[#This Row],[UnitPrice]])=(Sheet1[[#This Row],[TotalPrice]]), "True", "False")</f>
        <v>True</v>
      </c>
      <c r="P469" t="str">
        <f>IF((Sheet1[[#This Row],[ItemsInCart]]&gt;=Sheet1[[#This Row],[Quantity]]), "Good", "Bad")</f>
        <v>Good</v>
      </c>
      <c r="Q469" t="str">
        <f t="shared" si="35"/>
        <v>OK</v>
      </c>
      <c r="R469" t="str">
        <f t="shared" si="36"/>
        <v>BAD</v>
      </c>
      <c r="S469">
        <f t="shared" si="37"/>
        <v>0</v>
      </c>
      <c r="T469">
        <f t="shared" si="38"/>
        <v>1</v>
      </c>
      <c r="U469" t="str">
        <f t="shared" si="39"/>
        <v>REVIEW_RETURN</v>
      </c>
    </row>
    <row r="470" spans="1:21">
      <c r="A470" t="s">
        <v>482</v>
      </c>
      <c r="B470" t="s">
        <v>4653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 t="str">
        <f>IF((Sheet1[[#This Row],[Quantity]]*Sheet1[[#This Row],[UnitPrice]])=(Sheet1[[#This Row],[TotalPrice]]), "True", "False")</f>
        <v>True</v>
      </c>
      <c r="P470" t="str">
        <f>IF((Sheet1[[#This Row],[ItemsInCart]]&gt;=Sheet1[[#This Row],[Quantity]]), "Good", "Bad")</f>
        <v>Good</v>
      </c>
      <c r="Q470" t="str">
        <f t="shared" si="35"/>
        <v>OK</v>
      </c>
      <c r="R470" t="str">
        <f t="shared" si="36"/>
        <v>GOOD</v>
      </c>
      <c r="S470">
        <f t="shared" si="37"/>
        <v>0</v>
      </c>
      <c r="T470">
        <f t="shared" si="38"/>
        <v>0</v>
      </c>
      <c r="U470" t="str">
        <f t="shared" si="39"/>
        <v>OK</v>
      </c>
    </row>
    <row r="471" spans="1:21">
      <c r="A471" t="s">
        <v>483</v>
      </c>
      <c r="B471" t="s">
        <v>4654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4961</v>
      </c>
      <c r="M471" t="s">
        <v>4281</v>
      </c>
      <c r="N471">
        <v>3384.9</v>
      </c>
      <c r="O471" t="str">
        <f>IF((Sheet1[[#This Row],[Quantity]]*Sheet1[[#This Row],[UnitPrice]])=(Sheet1[[#This Row],[TotalPrice]]), "True", "False")</f>
        <v>True</v>
      </c>
      <c r="P471" t="str">
        <f>IF((Sheet1[[#This Row],[ItemsInCart]]&gt;=Sheet1[[#This Row],[Quantity]]), "Good", "Bad")</f>
        <v>Good</v>
      </c>
      <c r="Q471" t="str">
        <f t="shared" si="35"/>
        <v>OK</v>
      </c>
      <c r="R471" t="str">
        <f t="shared" si="36"/>
        <v>BAD</v>
      </c>
      <c r="S471">
        <f t="shared" si="37"/>
        <v>0</v>
      </c>
      <c r="T471">
        <f t="shared" si="38"/>
        <v>1</v>
      </c>
      <c r="U471" t="str">
        <f t="shared" si="39"/>
        <v>REVIEW_RETURN</v>
      </c>
    </row>
    <row r="472" spans="1:21">
      <c r="A472" t="s">
        <v>484</v>
      </c>
      <c r="B472" t="s">
        <v>4655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 t="str">
        <f>IF((Sheet1[[#This Row],[Quantity]]*Sheet1[[#This Row],[UnitPrice]])=(Sheet1[[#This Row],[TotalPrice]]), "True", "False")</f>
        <v>True</v>
      </c>
      <c r="P472" t="str">
        <f>IF((Sheet1[[#This Row],[ItemsInCart]]&gt;=Sheet1[[#This Row],[Quantity]]), "Good", "Bad")</f>
        <v>Good</v>
      </c>
      <c r="Q472" t="str">
        <f t="shared" si="35"/>
        <v>OK</v>
      </c>
      <c r="R472" t="str">
        <f t="shared" si="36"/>
        <v>GOOD</v>
      </c>
      <c r="S472">
        <f t="shared" si="37"/>
        <v>0</v>
      </c>
      <c r="T472">
        <f t="shared" si="38"/>
        <v>0</v>
      </c>
      <c r="U472" t="str">
        <f t="shared" si="39"/>
        <v>OK</v>
      </c>
    </row>
    <row r="473" spans="1:21">
      <c r="A473" t="s">
        <v>485</v>
      </c>
      <c r="B473" t="s">
        <v>4656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 t="str">
        <f>IF((Sheet1[[#This Row],[Quantity]]*Sheet1[[#This Row],[UnitPrice]])=(Sheet1[[#This Row],[TotalPrice]]), "True", "False")</f>
        <v>True</v>
      </c>
      <c r="P473" t="str">
        <f>IF((Sheet1[[#This Row],[ItemsInCart]]&gt;=Sheet1[[#This Row],[Quantity]]), "Good", "Bad")</f>
        <v>Good</v>
      </c>
      <c r="Q473" t="str">
        <f t="shared" si="35"/>
        <v>OK</v>
      </c>
      <c r="R473" t="str">
        <f t="shared" si="36"/>
        <v>BAD</v>
      </c>
      <c r="S473">
        <f t="shared" si="37"/>
        <v>0</v>
      </c>
      <c r="T473">
        <f t="shared" si="38"/>
        <v>1</v>
      </c>
      <c r="U473" t="str">
        <f t="shared" si="39"/>
        <v>REVIEW_RETURN</v>
      </c>
    </row>
    <row r="474" spans="1:21">
      <c r="A474" t="s">
        <v>486</v>
      </c>
      <c r="B474" t="s">
        <v>4657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 t="str">
        <f>IF((Sheet1[[#This Row],[Quantity]]*Sheet1[[#This Row],[UnitPrice]])=(Sheet1[[#This Row],[TotalPrice]]), "True", "False")</f>
        <v>True</v>
      </c>
      <c r="P474" t="str">
        <f>IF((Sheet1[[#This Row],[ItemsInCart]]&gt;=Sheet1[[#This Row],[Quantity]]), "Good", "Bad")</f>
        <v>Good</v>
      </c>
      <c r="Q474" t="str">
        <f t="shared" si="35"/>
        <v>OK</v>
      </c>
      <c r="R474" t="str">
        <f t="shared" si="36"/>
        <v>BAD</v>
      </c>
      <c r="S474">
        <f t="shared" si="37"/>
        <v>0</v>
      </c>
      <c r="T474">
        <f t="shared" si="38"/>
        <v>1</v>
      </c>
      <c r="U474" t="str">
        <f t="shared" si="39"/>
        <v>REVIEW_RETURN</v>
      </c>
    </row>
    <row r="475" spans="1:21">
      <c r="A475" t="s">
        <v>487</v>
      </c>
      <c r="B475" t="s">
        <v>4369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4961</v>
      </c>
      <c r="M475" t="s">
        <v>4281</v>
      </c>
      <c r="N475">
        <v>29.86</v>
      </c>
      <c r="O475" t="str">
        <f>IF((Sheet1[[#This Row],[Quantity]]*Sheet1[[#This Row],[UnitPrice]])=(Sheet1[[#This Row],[TotalPrice]]), "True", "False")</f>
        <v>True</v>
      </c>
      <c r="P475" t="str">
        <f>IF((Sheet1[[#This Row],[ItemsInCart]]&gt;=Sheet1[[#This Row],[Quantity]]), "Good", "Bad")</f>
        <v>Good</v>
      </c>
      <c r="Q475" t="str">
        <f t="shared" si="35"/>
        <v>OK</v>
      </c>
      <c r="R475" t="str">
        <f t="shared" si="36"/>
        <v>GOOD</v>
      </c>
      <c r="S475">
        <f t="shared" si="37"/>
        <v>0</v>
      </c>
      <c r="T475">
        <f t="shared" si="38"/>
        <v>0</v>
      </c>
      <c r="U475" t="str">
        <f t="shared" si="39"/>
        <v>OK</v>
      </c>
    </row>
    <row r="476" spans="1:21">
      <c r="A476" t="s">
        <v>488</v>
      </c>
      <c r="B476" t="s">
        <v>4658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 t="str">
        <f>IF((Sheet1[[#This Row],[Quantity]]*Sheet1[[#This Row],[UnitPrice]])=(Sheet1[[#This Row],[TotalPrice]]), "True", "False")</f>
        <v>True</v>
      </c>
      <c r="P476" t="str">
        <f>IF((Sheet1[[#This Row],[ItemsInCart]]&gt;=Sheet1[[#This Row],[Quantity]]), "Good", "Bad")</f>
        <v>Good</v>
      </c>
      <c r="Q476" t="str">
        <f t="shared" si="35"/>
        <v>OK</v>
      </c>
      <c r="R476" t="str">
        <f t="shared" si="36"/>
        <v>GOOD</v>
      </c>
      <c r="S476">
        <f t="shared" si="37"/>
        <v>0</v>
      </c>
      <c r="T476">
        <f t="shared" si="38"/>
        <v>0</v>
      </c>
      <c r="U476" t="str">
        <f t="shared" si="39"/>
        <v>OK</v>
      </c>
    </row>
    <row r="477" spans="1:21">
      <c r="A477" t="s">
        <v>489</v>
      </c>
      <c r="B477" t="s">
        <v>4656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 t="str">
        <f>IF((Sheet1[[#This Row],[Quantity]]*Sheet1[[#This Row],[UnitPrice]])=(Sheet1[[#This Row],[TotalPrice]]), "True", "False")</f>
        <v>True</v>
      </c>
      <c r="P477" t="str">
        <f>IF((Sheet1[[#This Row],[ItemsInCart]]&gt;=Sheet1[[#This Row],[Quantity]]), "Good", "Bad")</f>
        <v>Good</v>
      </c>
      <c r="Q477" t="str">
        <f t="shared" si="35"/>
        <v>OK</v>
      </c>
      <c r="R477" t="str">
        <f t="shared" si="36"/>
        <v>BAD</v>
      </c>
      <c r="S477">
        <f t="shared" si="37"/>
        <v>0</v>
      </c>
      <c r="T477">
        <f t="shared" si="38"/>
        <v>1</v>
      </c>
      <c r="U477" t="str">
        <f t="shared" si="39"/>
        <v>REVIEW_RETURN</v>
      </c>
    </row>
    <row r="478" spans="1:21">
      <c r="A478" t="s">
        <v>490</v>
      </c>
      <c r="B478" t="s">
        <v>4644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 t="str">
        <f>IF((Sheet1[[#This Row],[Quantity]]*Sheet1[[#This Row],[UnitPrice]])=(Sheet1[[#This Row],[TotalPrice]]), "True", "False")</f>
        <v>True</v>
      </c>
      <c r="P478" t="str">
        <f>IF((Sheet1[[#This Row],[ItemsInCart]]&gt;=Sheet1[[#This Row],[Quantity]]), "Good", "Bad")</f>
        <v>Good</v>
      </c>
      <c r="Q478" t="str">
        <f t="shared" si="35"/>
        <v>OK</v>
      </c>
      <c r="R478" t="str">
        <f t="shared" si="36"/>
        <v>GOOD</v>
      </c>
      <c r="S478">
        <f t="shared" si="37"/>
        <v>0</v>
      </c>
      <c r="T478">
        <f t="shared" si="38"/>
        <v>0</v>
      </c>
      <c r="U478" t="str">
        <f t="shared" si="39"/>
        <v>OK</v>
      </c>
    </row>
    <row r="479" spans="1:21">
      <c r="A479" t="s">
        <v>491</v>
      </c>
      <c r="B479" t="s">
        <v>4659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 t="str">
        <f>IF((Sheet1[[#This Row],[Quantity]]*Sheet1[[#This Row],[UnitPrice]])=(Sheet1[[#This Row],[TotalPrice]]), "True", "False")</f>
        <v>True</v>
      </c>
      <c r="P479" t="str">
        <f>IF((Sheet1[[#This Row],[ItemsInCart]]&gt;=Sheet1[[#This Row],[Quantity]]), "Good", "Bad")</f>
        <v>Good</v>
      </c>
      <c r="Q479" t="str">
        <f t="shared" si="35"/>
        <v>OK</v>
      </c>
      <c r="R479" t="str">
        <f t="shared" si="36"/>
        <v>GOOD</v>
      </c>
      <c r="S479">
        <f t="shared" si="37"/>
        <v>0</v>
      </c>
      <c r="T479">
        <f t="shared" si="38"/>
        <v>0</v>
      </c>
      <c r="U479" t="str">
        <f t="shared" si="39"/>
        <v>OK</v>
      </c>
    </row>
    <row r="480" spans="1:21">
      <c r="A480" t="s">
        <v>492</v>
      </c>
      <c r="B480" t="s">
        <v>4660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 t="str">
        <f>IF((Sheet1[[#This Row],[Quantity]]*Sheet1[[#This Row],[UnitPrice]])=(Sheet1[[#This Row],[TotalPrice]]), "True", "False")</f>
        <v>True</v>
      </c>
      <c r="P480" t="str">
        <f>IF((Sheet1[[#This Row],[ItemsInCart]]&gt;=Sheet1[[#This Row],[Quantity]]), "Good", "Bad")</f>
        <v>Good</v>
      </c>
      <c r="Q480" t="str">
        <f t="shared" si="35"/>
        <v>OK</v>
      </c>
      <c r="R480" t="str">
        <f t="shared" si="36"/>
        <v>GOOD</v>
      </c>
      <c r="S480">
        <f t="shared" si="37"/>
        <v>0</v>
      </c>
      <c r="T480">
        <f t="shared" si="38"/>
        <v>0</v>
      </c>
      <c r="U480" t="str">
        <f t="shared" si="39"/>
        <v>OK</v>
      </c>
    </row>
    <row r="481" spans="1:21">
      <c r="A481" t="s">
        <v>493</v>
      </c>
      <c r="B481" t="s">
        <v>4661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4961</v>
      </c>
      <c r="M481" t="s">
        <v>4282</v>
      </c>
      <c r="N481">
        <v>101.16</v>
      </c>
      <c r="O481" t="str">
        <f>IF((Sheet1[[#This Row],[Quantity]]*Sheet1[[#This Row],[UnitPrice]])=(Sheet1[[#This Row],[TotalPrice]]), "True", "False")</f>
        <v>True</v>
      </c>
      <c r="P481" t="str">
        <f>IF((Sheet1[[#This Row],[ItemsInCart]]&gt;=Sheet1[[#This Row],[Quantity]]), "Good", "Bad")</f>
        <v>Good</v>
      </c>
      <c r="Q481" t="str">
        <f t="shared" si="35"/>
        <v>OK</v>
      </c>
      <c r="R481" t="str">
        <f t="shared" si="36"/>
        <v>BAD</v>
      </c>
      <c r="S481">
        <f t="shared" si="37"/>
        <v>0</v>
      </c>
      <c r="T481">
        <f t="shared" si="38"/>
        <v>1</v>
      </c>
      <c r="U481" t="str">
        <f t="shared" si="39"/>
        <v>DOCUMENTED</v>
      </c>
    </row>
    <row r="482" spans="1:21">
      <c r="A482" t="s">
        <v>494</v>
      </c>
      <c r="B482" t="s">
        <v>4662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 t="str">
        <f>IF((Sheet1[[#This Row],[Quantity]]*Sheet1[[#This Row],[UnitPrice]])=(Sheet1[[#This Row],[TotalPrice]]), "True", "False")</f>
        <v>True</v>
      </c>
      <c r="P482" t="str">
        <f>IF((Sheet1[[#This Row],[ItemsInCart]]&gt;=Sheet1[[#This Row],[Quantity]]), "Good", "Bad")</f>
        <v>Good</v>
      </c>
      <c r="Q482" t="str">
        <f t="shared" si="35"/>
        <v>OK</v>
      </c>
      <c r="R482" t="str">
        <f t="shared" si="36"/>
        <v>BAD</v>
      </c>
      <c r="S482">
        <f t="shared" si="37"/>
        <v>0</v>
      </c>
      <c r="T482">
        <f t="shared" si="38"/>
        <v>1</v>
      </c>
      <c r="U482" t="str">
        <f t="shared" si="39"/>
        <v>DOCUMENTED</v>
      </c>
    </row>
    <row r="483" spans="1:21">
      <c r="A483" t="s">
        <v>495</v>
      </c>
      <c r="B483" t="s">
        <v>4578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 t="str">
        <f>IF((Sheet1[[#This Row],[Quantity]]*Sheet1[[#This Row],[UnitPrice]])=(Sheet1[[#This Row],[TotalPrice]]), "True", "False")</f>
        <v>True</v>
      </c>
      <c r="P483" t="str">
        <f>IF((Sheet1[[#This Row],[ItemsInCart]]&gt;=Sheet1[[#This Row],[Quantity]]), "Good", "Bad")</f>
        <v>Good</v>
      </c>
      <c r="Q483" t="str">
        <f t="shared" si="35"/>
        <v>OK</v>
      </c>
      <c r="R483" t="str">
        <f t="shared" si="36"/>
        <v>GOOD</v>
      </c>
      <c r="S483">
        <f t="shared" si="37"/>
        <v>0</v>
      </c>
      <c r="T483">
        <f t="shared" si="38"/>
        <v>0</v>
      </c>
      <c r="U483" t="str">
        <f t="shared" si="39"/>
        <v>OK</v>
      </c>
    </row>
    <row r="484" spans="1:21">
      <c r="A484" t="s">
        <v>496</v>
      </c>
      <c r="B484" t="s">
        <v>4663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4961</v>
      </c>
      <c r="M484" t="s">
        <v>4278</v>
      </c>
      <c r="N484">
        <v>1144.23</v>
      </c>
      <c r="O484" t="str">
        <f>IF((Sheet1[[#This Row],[Quantity]]*Sheet1[[#This Row],[UnitPrice]])=(Sheet1[[#This Row],[TotalPrice]]), "True", "False")</f>
        <v>True</v>
      </c>
      <c r="P484" t="str">
        <f>IF((Sheet1[[#This Row],[ItemsInCart]]&gt;=Sheet1[[#This Row],[Quantity]]), "Good", "Bad")</f>
        <v>Good</v>
      </c>
      <c r="Q484" t="str">
        <f t="shared" si="35"/>
        <v>OK</v>
      </c>
      <c r="R484" t="str">
        <f t="shared" si="36"/>
        <v>BAD</v>
      </c>
      <c r="S484">
        <f t="shared" si="37"/>
        <v>0</v>
      </c>
      <c r="T484">
        <f t="shared" si="38"/>
        <v>1</v>
      </c>
      <c r="U484" t="str">
        <f t="shared" si="39"/>
        <v>DOCUMENTED</v>
      </c>
    </row>
    <row r="485" spans="1:21">
      <c r="A485" t="s">
        <v>497</v>
      </c>
      <c r="B485" t="s">
        <v>4664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 t="str">
        <f>IF((Sheet1[[#This Row],[Quantity]]*Sheet1[[#This Row],[UnitPrice]])=(Sheet1[[#This Row],[TotalPrice]]), "True", "False")</f>
        <v>True</v>
      </c>
      <c r="P485" t="str">
        <f>IF((Sheet1[[#This Row],[ItemsInCart]]&gt;=Sheet1[[#This Row],[Quantity]]), "Good", "Bad")</f>
        <v>Good</v>
      </c>
      <c r="Q485" t="str">
        <f t="shared" si="35"/>
        <v>OK</v>
      </c>
      <c r="R485" t="str">
        <f t="shared" si="36"/>
        <v>BAD</v>
      </c>
      <c r="S485">
        <f t="shared" si="37"/>
        <v>0</v>
      </c>
      <c r="T485">
        <f t="shared" si="38"/>
        <v>1</v>
      </c>
      <c r="U485" t="str">
        <f t="shared" si="39"/>
        <v>DOCUMENTED</v>
      </c>
    </row>
    <row r="486" spans="1:21">
      <c r="A486" t="s">
        <v>498</v>
      </c>
      <c r="B486" t="s">
        <v>4665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4961</v>
      </c>
      <c r="M486" t="s">
        <v>4281</v>
      </c>
      <c r="N486">
        <v>60.04</v>
      </c>
      <c r="O486" t="str">
        <f>IF((Sheet1[[#This Row],[Quantity]]*Sheet1[[#This Row],[UnitPrice]])=(Sheet1[[#This Row],[TotalPrice]]), "True", "False")</f>
        <v>True</v>
      </c>
      <c r="P486" t="str">
        <f>IF((Sheet1[[#This Row],[ItemsInCart]]&gt;=Sheet1[[#This Row],[Quantity]]), "Good", "Bad")</f>
        <v>Good</v>
      </c>
      <c r="Q486" t="str">
        <f t="shared" si="35"/>
        <v>OK</v>
      </c>
      <c r="R486" t="str">
        <f t="shared" si="36"/>
        <v>BAD</v>
      </c>
      <c r="S486">
        <f t="shared" si="37"/>
        <v>0</v>
      </c>
      <c r="T486">
        <f t="shared" si="38"/>
        <v>1</v>
      </c>
      <c r="U486" t="str">
        <f t="shared" si="39"/>
        <v>REVIEW_RETURN</v>
      </c>
    </row>
    <row r="487" spans="1:21">
      <c r="A487" t="s">
        <v>499</v>
      </c>
      <c r="B487" t="s">
        <v>4666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 t="str">
        <f>IF((Sheet1[[#This Row],[Quantity]]*Sheet1[[#This Row],[UnitPrice]])=(Sheet1[[#This Row],[TotalPrice]]), "True", "False")</f>
        <v>True</v>
      </c>
      <c r="P487" t="str">
        <f>IF((Sheet1[[#This Row],[ItemsInCart]]&gt;=Sheet1[[#This Row],[Quantity]]), "Good", "Bad")</f>
        <v>Good</v>
      </c>
      <c r="Q487" t="str">
        <f t="shared" si="35"/>
        <v>OK</v>
      </c>
      <c r="R487" t="str">
        <f t="shared" si="36"/>
        <v>GOOD</v>
      </c>
      <c r="S487">
        <f t="shared" si="37"/>
        <v>0</v>
      </c>
      <c r="T487">
        <f t="shared" si="38"/>
        <v>0</v>
      </c>
      <c r="U487" t="str">
        <f t="shared" si="39"/>
        <v>OK</v>
      </c>
    </row>
    <row r="488" spans="1:21">
      <c r="A488" t="s">
        <v>500</v>
      </c>
      <c r="B488" t="s">
        <v>4667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 t="str">
        <f>IF((Sheet1[[#This Row],[Quantity]]*Sheet1[[#This Row],[UnitPrice]])=(Sheet1[[#This Row],[TotalPrice]]), "True", "False")</f>
        <v>True</v>
      </c>
      <c r="P488" t="str">
        <f>IF((Sheet1[[#This Row],[ItemsInCart]]&gt;=Sheet1[[#This Row],[Quantity]]), "Good", "Bad")</f>
        <v>Good</v>
      </c>
      <c r="Q488" t="str">
        <f t="shared" si="35"/>
        <v>OK</v>
      </c>
      <c r="R488" t="str">
        <f t="shared" si="36"/>
        <v>GOOD</v>
      </c>
      <c r="S488">
        <f t="shared" si="37"/>
        <v>0</v>
      </c>
      <c r="T488">
        <f t="shared" si="38"/>
        <v>0</v>
      </c>
      <c r="U488" t="str">
        <f t="shared" si="39"/>
        <v>OK</v>
      </c>
    </row>
    <row r="489" spans="1:21">
      <c r="A489" t="s">
        <v>501</v>
      </c>
      <c r="B489" t="s">
        <v>4621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 t="str">
        <f>IF((Sheet1[[#This Row],[Quantity]]*Sheet1[[#This Row],[UnitPrice]])=(Sheet1[[#This Row],[TotalPrice]]), "True", "False")</f>
        <v>True</v>
      </c>
      <c r="P489" t="str">
        <f>IF((Sheet1[[#This Row],[ItemsInCart]]&gt;=Sheet1[[#This Row],[Quantity]]), "Good", "Bad")</f>
        <v>Good</v>
      </c>
      <c r="Q489" t="str">
        <f t="shared" si="35"/>
        <v>OK</v>
      </c>
      <c r="R489" t="str">
        <f t="shared" si="36"/>
        <v>BAD</v>
      </c>
      <c r="S489">
        <f t="shared" si="37"/>
        <v>0</v>
      </c>
      <c r="T489">
        <f t="shared" si="38"/>
        <v>1</v>
      </c>
      <c r="U489" t="str">
        <f t="shared" si="39"/>
        <v>DOCUMENTED</v>
      </c>
    </row>
    <row r="490" spans="1:21">
      <c r="A490" t="s">
        <v>502</v>
      </c>
      <c r="B490" t="s">
        <v>4477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 t="str">
        <f>IF((Sheet1[[#This Row],[Quantity]]*Sheet1[[#This Row],[UnitPrice]])=(Sheet1[[#This Row],[TotalPrice]]), "True", "False")</f>
        <v>True</v>
      </c>
      <c r="P490" t="str">
        <f>IF((Sheet1[[#This Row],[ItemsInCart]]&gt;=Sheet1[[#This Row],[Quantity]]), "Good", "Bad")</f>
        <v>Good</v>
      </c>
      <c r="Q490" t="str">
        <f t="shared" si="35"/>
        <v>OK</v>
      </c>
      <c r="R490" t="str">
        <f t="shared" si="36"/>
        <v>BAD</v>
      </c>
      <c r="S490">
        <f t="shared" si="37"/>
        <v>0</v>
      </c>
      <c r="T490">
        <f t="shared" si="38"/>
        <v>1</v>
      </c>
      <c r="U490" t="str">
        <f t="shared" si="39"/>
        <v>REVIEW_RETURN</v>
      </c>
    </row>
    <row r="491" spans="1:21">
      <c r="A491" t="s">
        <v>503</v>
      </c>
      <c r="B491" t="s">
        <v>4472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 t="str">
        <f>IF((Sheet1[[#This Row],[Quantity]]*Sheet1[[#This Row],[UnitPrice]])=(Sheet1[[#This Row],[TotalPrice]]), "True", "False")</f>
        <v>True</v>
      </c>
      <c r="P491" t="str">
        <f>IF((Sheet1[[#This Row],[ItemsInCart]]&gt;=Sheet1[[#This Row],[Quantity]]), "Good", "Bad")</f>
        <v>Good</v>
      </c>
      <c r="Q491" t="str">
        <f t="shared" si="35"/>
        <v>OK</v>
      </c>
      <c r="R491" t="str">
        <f t="shared" si="36"/>
        <v>BAD</v>
      </c>
      <c r="S491">
        <f t="shared" si="37"/>
        <v>0</v>
      </c>
      <c r="T491">
        <f t="shared" si="38"/>
        <v>1</v>
      </c>
      <c r="U491" t="str">
        <f t="shared" si="39"/>
        <v>REVIEW_RETURN</v>
      </c>
    </row>
    <row r="492" spans="1:21">
      <c r="A492" t="s">
        <v>504</v>
      </c>
      <c r="B492" t="s">
        <v>4602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4961</v>
      </c>
      <c r="M492" t="s">
        <v>4281</v>
      </c>
      <c r="N492">
        <v>2339.0500000000002</v>
      </c>
      <c r="O492" t="str">
        <f>IF((Sheet1[[#This Row],[Quantity]]*Sheet1[[#This Row],[UnitPrice]])=(Sheet1[[#This Row],[TotalPrice]]), "True", "False")</f>
        <v>True</v>
      </c>
      <c r="P492" t="str">
        <f>IF((Sheet1[[#This Row],[ItemsInCart]]&gt;=Sheet1[[#This Row],[Quantity]]), "Good", "Bad")</f>
        <v>Good</v>
      </c>
      <c r="Q492" t="str">
        <f t="shared" si="35"/>
        <v>OK</v>
      </c>
      <c r="R492" t="str">
        <f t="shared" si="36"/>
        <v>BAD</v>
      </c>
      <c r="S492">
        <f t="shared" si="37"/>
        <v>0</v>
      </c>
      <c r="T492">
        <f t="shared" si="38"/>
        <v>1</v>
      </c>
      <c r="U492" t="str">
        <f t="shared" si="39"/>
        <v>REVIEW_RETURN</v>
      </c>
    </row>
    <row r="493" spans="1:21">
      <c r="A493" t="s">
        <v>505</v>
      </c>
      <c r="B493" t="s">
        <v>4597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 t="str">
        <f>IF((Sheet1[[#This Row],[Quantity]]*Sheet1[[#This Row],[UnitPrice]])=(Sheet1[[#This Row],[TotalPrice]]), "True", "False")</f>
        <v>True</v>
      </c>
      <c r="P493" t="str">
        <f>IF((Sheet1[[#This Row],[ItemsInCart]]&gt;=Sheet1[[#This Row],[Quantity]]), "Good", "Bad")</f>
        <v>Good</v>
      </c>
      <c r="Q493" t="str">
        <f t="shared" si="35"/>
        <v>OK</v>
      </c>
      <c r="R493" t="str">
        <f t="shared" si="36"/>
        <v>BAD</v>
      </c>
      <c r="S493">
        <f t="shared" si="37"/>
        <v>0</v>
      </c>
      <c r="T493">
        <f t="shared" si="38"/>
        <v>1</v>
      </c>
      <c r="U493" t="str">
        <f t="shared" si="39"/>
        <v>DOCUMENTED</v>
      </c>
    </row>
    <row r="494" spans="1:21">
      <c r="A494" t="s">
        <v>506</v>
      </c>
      <c r="B494" t="s">
        <v>4668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 t="str">
        <f>IF((Sheet1[[#This Row],[Quantity]]*Sheet1[[#This Row],[UnitPrice]])=(Sheet1[[#This Row],[TotalPrice]]), "True", "False")</f>
        <v>True</v>
      </c>
      <c r="P494" t="str">
        <f>IF((Sheet1[[#This Row],[ItemsInCart]]&gt;=Sheet1[[#This Row],[Quantity]]), "Good", "Bad")</f>
        <v>Good</v>
      </c>
      <c r="Q494" t="str">
        <f t="shared" si="35"/>
        <v>OK</v>
      </c>
      <c r="R494" t="str">
        <f t="shared" si="36"/>
        <v>GOOD</v>
      </c>
      <c r="S494">
        <f t="shared" si="37"/>
        <v>0</v>
      </c>
      <c r="T494">
        <f t="shared" si="38"/>
        <v>0</v>
      </c>
      <c r="U494" t="str">
        <f t="shared" si="39"/>
        <v>OK</v>
      </c>
    </row>
    <row r="495" spans="1:21">
      <c r="A495" t="s">
        <v>507</v>
      </c>
      <c r="B495" t="s">
        <v>4669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 t="str">
        <f>IF((Sheet1[[#This Row],[Quantity]]*Sheet1[[#This Row],[UnitPrice]])=(Sheet1[[#This Row],[TotalPrice]]), "True", "False")</f>
        <v>True</v>
      </c>
      <c r="P495" t="str">
        <f>IF((Sheet1[[#This Row],[ItemsInCart]]&gt;=Sheet1[[#This Row],[Quantity]]), "Good", "Bad")</f>
        <v>Good</v>
      </c>
      <c r="Q495" t="str">
        <f t="shared" si="35"/>
        <v>OK</v>
      </c>
      <c r="R495" t="str">
        <f t="shared" si="36"/>
        <v>BAD</v>
      </c>
      <c r="S495">
        <f t="shared" si="37"/>
        <v>0</v>
      </c>
      <c r="T495">
        <f t="shared" si="38"/>
        <v>1</v>
      </c>
      <c r="U495" t="str">
        <f t="shared" si="39"/>
        <v>DOCUMENTED</v>
      </c>
    </row>
    <row r="496" spans="1:21">
      <c r="A496" t="s">
        <v>508</v>
      </c>
      <c r="B496" t="s">
        <v>4328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 t="str">
        <f>IF((Sheet1[[#This Row],[Quantity]]*Sheet1[[#This Row],[UnitPrice]])=(Sheet1[[#This Row],[TotalPrice]]), "True", "False")</f>
        <v>True</v>
      </c>
      <c r="P496" t="str">
        <f>IF((Sheet1[[#This Row],[ItemsInCart]]&gt;=Sheet1[[#This Row],[Quantity]]), "Good", "Bad")</f>
        <v>Good</v>
      </c>
      <c r="Q496" t="str">
        <f t="shared" si="35"/>
        <v>OK</v>
      </c>
      <c r="R496" t="str">
        <f t="shared" si="36"/>
        <v>BAD</v>
      </c>
      <c r="S496">
        <f t="shared" si="37"/>
        <v>0</v>
      </c>
      <c r="T496">
        <f t="shared" si="38"/>
        <v>1</v>
      </c>
      <c r="U496" t="str">
        <f t="shared" si="39"/>
        <v>DOCUMENTED</v>
      </c>
    </row>
    <row r="497" spans="1:21">
      <c r="A497" t="s">
        <v>509</v>
      </c>
      <c r="B497" t="s">
        <v>4368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 t="str">
        <f>IF((Sheet1[[#This Row],[Quantity]]*Sheet1[[#This Row],[UnitPrice]])=(Sheet1[[#This Row],[TotalPrice]]), "True", "False")</f>
        <v>True</v>
      </c>
      <c r="P497" t="str">
        <f>IF((Sheet1[[#This Row],[ItemsInCart]]&gt;=Sheet1[[#This Row],[Quantity]]), "Good", "Bad")</f>
        <v>Good</v>
      </c>
      <c r="Q497" t="str">
        <f t="shared" si="35"/>
        <v>OK</v>
      </c>
      <c r="R497" t="str">
        <f t="shared" si="36"/>
        <v>BAD</v>
      </c>
      <c r="S497">
        <f t="shared" si="37"/>
        <v>0</v>
      </c>
      <c r="T497">
        <f t="shared" si="38"/>
        <v>1</v>
      </c>
      <c r="U497" t="str">
        <f t="shared" si="39"/>
        <v>DOCUMENTED</v>
      </c>
    </row>
    <row r="498" spans="1:21">
      <c r="A498" t="s">
        <v>510</v>
      </c>
      <c r="B498" t="s">
        <v>4670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 t="str">
        <f>IF((Sheet1[[#This Row],[Quantity]]*Sheet1[[#This Row],[UnitPrice]])=(Sheet1[[#This Row],[TotalPrice]]), "True", "False")</f>
        <v>True</v>
      </c>
      <c r="P498" t="str">
        <f>IF((Sheet1[[#This Row],[ItemsInCart]]&gt;=Sheet1[[#This Row],[Quantity]]), "Good", "Bad")</f>
        <v>Good</v>
      </c>
      <c r="Q498" t="str">
        <f t="shared" si="35"/>
        <v>OK</v>
      </c>
      <c r="R498" t="str">
        <f t="shared" si="36"/>
        <v>BAD</v>
      </c>
      <c r="S498">
        <f t="shared" si="37"/>
        <v>0</v>
      </c>
      <c r="T498">
        <f t="shared" si="38"/>
        <v>1</v>
      </c>
      <c r="U498" t="str">
        <f t="shared" si="39"/>
        <v>REVIEW_RETURN</v>
      </c>
    </row>
    <row r="499" spans="1:21">
      <c r="A499" t="s">
        <v>511</v>
      </c>
      <c r="B499" t="s">
        <v>4384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4961</v>
      </c>
      <c r="M499" t="s">
        <v>4282</v>
      </c>
      <c r="N499">
        <v>336.87</v>
      </c>
      <c r="O499" t="str">
        <f>IF((Sheet1[[#This Row],[Quantity]]*Sheet1[[#This Row],[UnitPrice]])=(Sheet1[[#This Row],[TotalPrice]]), "True", "False")</f>
        <v>True</v>
      </c>
      <c r="P499" t="str">
        <f>IF((Sheet1[[#This Row],[ItemsInCart]]&gt;=Sheet1[[#This Row],[Quantity]]), "Good", "Bad")</f>
        <v>Good</v>
      </c>
      <c r="Q499" t="str">
        <f t="shared" si="35"/>
        <v>OK</v>
      </c>
      <c r="R499" t="str">
        <f t="shared" si="36"/>
        <v>GOOD</v>
      </c>
      <c r="S499">
        <f t="shared" si="37"/>
        <v>0</v>
      </c>
      <c r="T499">
        <f t="shared" si="38"/>
        <v>0</v>
      </c>
      <c r="U499" t="str">
        <f t="shared" si="39"/>
        <v>OK</v>
      </c>
    </row>
    <row r="500" spans="1:21">
      <c r="A500" t="s">
        <v>512</v>
      </c>
      <c r="B500" t="s">
        <v>4502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 t="str">
        <f>IF((Sheet1[[#This Row],[Quantity]]*Sheet1[[#This Row],[UnitPrice]])=(Sheet1[[#This Row],[TotalPrice]]), "True", "False")</f>
        <v>True</v>
      </c>
      <c r="P500" t="str">
        <f>IF((Sheet1[[#This Row],[ItemsInCart]]&gt;=Sheet1[[#This Row],[Quantity]]), "Good", "Bad")</f>
        <v>Good</v>
      </c>
      <c r="Q500" t="str">
        <f t="shared" si="35"/>
        <v>OK</v>
      </c>
      <c r="R500" t="str">
        <f t="shared" si="36"/>
        <v>GOOD</v>
      </c>
      <c r="S500">
        <f t="shared" si="37"/>
        <v>0</v>
      </c>
      <c r="T500">
        <f t="shared" si="38"/>
        <v>0</v>
      </c>
      <c r="U500" t="str">
        <f t="shared" si="39"/>
        <v>OK</v>
      </c>
    </row>
    <row r="501" spans="1:21">
      <c r="A501" t="s">
        <v>513</v>
      </c>
      <c r="B501" t="s">
        <v>4671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 t="str">
        <f>IF((Sheet1[[#This Row],[Quantity]]*Sheet1[[#This Row],[UnitPrice]])=(Sheet1[[#This Row],[TotalPrice]]), "True", "False")</f>
        <v>True</v>
      </c>
      <c r="P501" t="str">
        <f>IF((Sheet1[[#This Row],[ItemsInCart]]&gt;=Sheet1[[#This Row],[Quantity]]), "Good", "Bad")</f>
        <v>Good</v>
      </c>
      <c r="Q501" t="str">
        <f t="shared" si="35"/>
        <v>OK</v>
      </c>
      <c r="R501" t="str">
        <f t="shared" si="36"/>
        <v>GOOD</v>
      </c>
      <c r="S501">
        <f t="shared" si="37"/>
        <v>0</v>
      </c>
      <c r="T501">
        <f t="shared" si="38"/>
        <v>0</v>
      </c>
      <c r="U501" t="str">
        <f t="shared" si="39"/>
        <v>OK</v>
      </c>
    </row>
    <row r="502" spans="1:21">
      <c r="A502" t="s">
        <v>514</v>
      </c>
      <c r="B502" t="s">
        <v>4441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 t="str">
        <f>IF((Sheet1[[#This Row],[Quantity]]*Sheet1[[#This Row],[UnitPrice]])=(Sheet1[[#This Row],[TotalPrice]]), "True", "False")</f>
        <v>True</v>
      </c>
      <c r="P502" t="str">
        <f>IF((Sheet1[[#This Row],[ItemsInCart]]&gt;=Sheet1[[#This Row],[Quantity]]), "Good", "Bad")</f>
        <v>Good</v>
      </c>
      <c r="Q502" t="str">
        <f t="shared" si="35"/>
        <v>OK</v>
      </c>
      <c r="R502" t="str">
        <f t="shared" si="36"/>
        <v>GOOD</v>
      </c>
      <c r="S502">
        <f t="shared" si="37"/>
        <v>0</v>
      </c>
      <c r="T502">
        <f t="shared" si="38"/>
        <v>0</v>
      </c>
      <c r="U502" t="str">
        <f t="shared" si="39"/>
        <v>OK</v>
      </c>
    </row>
    <row r="503" spans="1:21">
      <c r="A503" t="s">
        <v>515</v>
      </c>
      <c r="B503" t="s">
        <v>4672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 t="str">
        <f>IF((Sheet1[[#This Row],[Quantity]]*Sheet1[[#This Row],[UnitPrice]])=(Sheet1[[#This Row],[TotalPrice]]), "True", "False")</f>
        <v>True</v>
      </c>
      <c r="P503" t="str">
        <f>IF((Sheet1[[#This Row],[ItemsInCart]]&gt;=Sheet1[[#This Row],[Quantity]]), "Good", "Bad")</f>
        <v>Good</v>
      </c>
      <c r="Q503" t="str">
        <f t="shared" si="35"/>
        <v>OK</v>
      </c>
      <c r="R503" t="str">
        <f t="shared" si="36"/>
        <v>BAD</v>
      </c>
      <c r="S503">
        <f t="shared" si="37"/>
        <v>0</v>
      </c>
      <c r="T503">
        <f t="shared" si="38"/>
        <v>1</v>
      </c>
      <c r="U503" t="str">
        <f t="shared" si="39"/>
        <v>DOCUMENTED</v>
      </c>
    </row>
    <row r="504" spans="1:21">
      <c r="A504" t="s">
        <v>516</v>
      </c>
      <c r="B504" t="s">
        <v>4673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 t="str">
        <f>IF((Sheet1[[#This Row],[Quantity]]*Sheet1[[#This Row],[UnitPrice]])=(Sheet1[[#This Row],[TotalPrice]]), "True", "False")</f>
        <v>True</v>
      </c>
      <c r="P504" t="str">
        <f>IF((Sheet1[[#This Row],[ItemsInCart]]&gt;=Sheet1[[#This Row],[Quantity]]), "Good", "Bad")</f>
        <v>Good</v>
      </c>
      <c r="Q504" t="str">
        <f t="shared" si="35"/>
        <v>OK</v>
      </c>
      <c r="R504" t="str">
        <f t="shared" si="36"/>
        <v>GOOD</v>
      </c>
      <c r="S504">
        <f t="shared" si="37"/>
        <v>0</v>
      </c>
      <c r="T504">
        <f t="shared" si="38"/>
        <v>0</v>
      </c>
      <c r="U504" t="str">
        <f t="shared" si="39"/>
        <v>OK</v>
      </c>
    </row>
    <row r="505" spans="1:21">
      <c r="A505" t="s">
        <v>517</v>
      </c>
      <c r="B505" t="s">
        <v>4586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 t="str">
        <f>IF((Sheet1[[#This Row],[Quantity]]*Sheet1[[#This Row],[UnitPrice]])=(Sheet1[[#This Row],[TotalPrice]]), "True", "False")</f>
        <v>True</v>
      </c>
      <c r="P505" t="str">
        <f>IF((Sheet1[[#This Row],[ItemsInCart]]&gt;=Sheet1[[#This Row],[Quantity]]), "Good", "Bad")</f>
        <v>Good</v>
      </c>
      <c r="Q505" t="str">
        <f t="shared" si="35"/>
        <v>OK</v>
      </c>
      <c r="R505" t="str">
        <f t="shared" si="36"/>
        <v>BAD</v>
      </c>
      <c r="S505">
        <f t="shared" si="37"/>
        <v>0</v>
      </c>
      <c r="T505">
        <f t="shared" si="38"/>
        <v>1</v>
      </c>
      <c r="U505" t="str">
        <f t="shared" si="39"/>
        <v>DOCUMENTED</v>
      </c>
    </row>
    <row r="506" spans="1:21">
      <c r="A506" t="s">
        <v>518</v>
      </c>
      <c r="B506" t="s">
        <v>4396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 t="str">
        <f>IF((Sheet1[[#This Row],[Quantity]]*Sheet1[[#This Row],[UnitPrice]])=(Sheet1[[#This Row],[TotalPrice]]), "True", "False")</f>
        <v>True</v>
      </c>
      <c r="P506" t="str">
        <f>IF((Sheet1[[#This Row],[ItemsInCart]]&gt;=Sheet1[[#This Row],[Quantity]]), "Good", "Bad")</f>
        <v>Good</v>
      </c>
      <c r="Q506" t="str">
        <f t="shared" si="35"/>
        <v>OK</v>
      </c>
      <c r="R506" t="str">
        <f t="shared" si="36"/>
        <v>BAD</v>
      </c>
      <c r="S506">
        <f t="shared" si="37"/>
        <v>0</v>
      </c>
      <c r="T506">
        <f t="shared" si="38"/>
        <v>1</v>
      </c>
      <c r="U506" t="str">
        <f t="shared" si="39"/>
        <v>REVIEW_RETURN</v>
      </c>
    </row>
    <row r="507" spans="1:21">
      <c r="A507" t="s">
        <v>519</v>
      </c>
      <c r="B507" t="s">
        <v>4519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4961</v>
      </c>
      <c r="M507" t="s">
        <v>4280</v>
      </c>
      <c r="N507">
        <v>869.94</v>
      </c>
      <c r="O507" t="str">
        <f>IF((Sheet1[[#This Row],[Quantity]]*Sheet1[[#This Row],[UnitPrice]])=(Sheet1[[#This Row],[TotalPrice]]), "True", "False")</f>
        <v>True</v>
      </c>
      <c r="P507" t="str">
        <f>IF((Sheet1[[#This Row],[ItemsInCart]]&gt;=Sheet1[[#This Row],[Quantity]]), "Good", "Bad")</f>
        <v>Good</v>
      </c>
      <c r="Q507" t="str">
        <f t="shared" si="35"/>
        <v>OK</v>
      </c>
      <c r="R507" t="str">
        <f t="shared" si="36"/>
        <v>GOOD</v>
      </c>
      <c r="S507">
        <f t="shared" si="37"/>
        <v>0</v>
      </c>
      <c r="T507">
        <f t="shared" si="38"/>
        <v>0</v>
      </c>
      <c r="U507" t="str">
        <f t="shared" si="39"/>
        <v>OK</v>
      </c>
    </row>
    <row r="508" spans="1:21">
      <c r="A508" t="s">
        <v>520</v>
      </c>
      <c r="B508" t="s">
        <v>4567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 t="str">
        <f>IF((Sheet1[[#This Row],[Quantity]]*Sheet1[[#This Row],[UnitPrice]])=(Sheet1[[#This Row],[TotalPrice]]), "True", "False")</f>
        <v>True</v>
      </c>
      <c r="P508" t="str">
        <f>IF((Sheet1[[#This Row],[ItemsInCart]]&gt;=Sheet1[[#This Row],[Quantity]]), "Good", "Bad")</f>
        <v>Good</v>
      </c>
      <c r="Q508" t="str">
        <f t="shared" si="35"/>
        <v>OK</v>
      </c>
      <c r="R508" t="str">
        <f t="shared" si="36"/>
        <v>GOOD</v>
      </c>
      <c r="S508">
        <f t="shared" si="37"/>
        <v>0</v>
      </c>
      <c r="T508">
        <f t="shared" si="38"/>
        <v>0</v>
      </c>
      <c r="U508" t="str">
        <f t="shared" si="39"/>
        <v>OK</v>
      </c>
    </row>
    <row r="509" spans="1:21">
      <c r="A509" t="s">
        <v>521</v>
      </c>
      <c r="B509" t="s">
        <v>4459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 t="str">
        <f>IF((Sheet1[[#This Row],[Quantity]]*Sheet1[[#This Row],[UnitPrice]])=(Sheet1[[#This Row],[TotalPrice]]), "True", "False")</f>
        <v>True</v>
      </c>
      <c r="P509" t="str">
        <f>IF((Sheet1[[#This Row],[ItemsInCart]]&gt;=Sheet1[[#This Row],[Quantity]]), "Good", "Bad")</f>
        <v>Good</v>
      </c>
      <c r="Q509" t="str">
        <f t="shared" si="35"/>
        <v>OK</v>
      </c>
      <c r="R509" t="str">
        <f t="shared" si="36"/>
        <v>BAD</v>
      </c>
      <c r="S509">
        <f t="shared" si="37"/>
        <v>0</v>
      </c>
      <c r="T509">
        <f t="shared" si="38"/>
        <v>1</v>
      </c>
      <c r="U509" t="str">
        <f t="shared" si="39"/>
        <v>DOCUMENTED</v>
      </c>
    </row>
    <row r="510" spans="1:21">
      <c r="A510" t="s">
        <v>522</v>
      </c>
      <c r="B510" t="s">
        <v>4674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4961</v>
      </c>
      <c r="M510" t="s">
        <v>4279</v>
      </c>
      <c r="N510">
        <v>558.27</v>
      </c>
      <c r="O510" t="str">
        <f>IF((Sheet1[[#This Row],[Quantity]]*Sheet1[[#This Row],[UnitPrice]])=(Sheet1[[#This Row],[TotalPrice]]), "True", "False")</f>
        <v>True</v>
      </c>
      <c r="P510" t="str">
        <f>IF((Sheet1[[#This Row],[ItemsInCart]]&gt;=Sheet1[[#This Row],[Quantity]]), "Good", "Bad")</f>
        <v>Good</v>
      </c>
      <c r="Q510" t="str">
        <f t="shared" si="35"/>
        <v>OK</v>
      </c>
      <c r="R510" t="str">
        <f t="shared" si="36"/>
        <v>GOOD</v>
      </c>
      <c r="S510">
        <f t="shared" si="37"/>
        <v>0</v>
      </c>
      <c r="T510">
        <f t="shared" si="38"/>
        <v>0</v>
      </c>
      <c r="U510" t="str">
        <f t="shared" si="39"/>
        <v>OK</v>
      </c>
    </row>
    <row r="511" spans="1:21">
      <c r="A511" t="s">
        <v>523</v>
      </c>
      <c r="B511" t="s">
        <v>4675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 t="str">
        <f>IF((Sheet1[[#This Row],[Quantity]]*Sheet1[[#This Row],[UnitPrice]])=(Sheet1[[#This Row],[TotalPrice]]), "True", "False")</f>
        <v>True</v>
      </c>
      <c r="P511" t="str">
        <f>IF((Sheet1[[#This Row],[ItemsInCart]]&gt;=Sheet1[[#This Row],[Quantity]]), "Good", "Bad")</f>
        <v>Good</v>
      </c>
      <c r="Q511" t="str">
        <f t="shared" si="35"/>
        <v>OK</v>
      </c>
      <c r="R511" t="str">
        <f t="shared" si="36"/>
        <v>GOOD</v>
      </c>
      <c r="S511">
        <f t="shared" si="37"/>
        <v>0</v>
      </c>
      <c r="T511">
        <f t="shared" si="38"/>
        <v>0</v>
      </c>
      <c r="U511" t="str">
        <f t="shared" si="39"/>
        <v>OK</v>
      </c>
    </row>
    <row r="512" spans="1:21">
      <c r="A512" t="s">
        <v>524</v>
      </c>
      <c r="B512" t="s">
        <v>4676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 t="str">
        <f>IF((Sheet1[[#This Row],[Quantity]]*Sheet1[[#This Row],[UnitPrice]])=(Sheet1[[#This Row],[TotalPrice]]), "True", "False")</f>
        <v>True</v>
      </c>
      <c r="P512" t="str">
        <f>IF((Sheet1[[#This Row],[ItemsInCart]]&gt;=Sheet1[[#This Row],[Quantity]]), "Good", "Bad")</f>
        <v>Good</v>
      </c>
      <c r="Q512" t="str">
        <f t="shared" si="35"/>
        <v>OK</v>
      </c>
      <c r="R512" t="str">
        <f t="shared" si="36"/>
        <v>GOOD</v>
      </c>
      <c r="S512">
        <f t="shared" si="37"/>
        <v>0</v>
      </c>
      <c r="T512">
        <f t="shared" si="38"/>
        <v>0</v>
      </c>
      <c r="U512" t="str">
        <f t="shared" si="39"/>
        <v>OK</v>
      </c>
    </row>
    <row r="513" spans="1:21">
      <c r="A513" t="s">
        <v>525</v>
      </c>
      <c r="B513" t="s">
        <v>4677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 t="str">
        <f>IF((Sheet1[[#This Row],[Quantity]]*Sheet1[[#This Row],[UnitPrice]])=(Sheet1[[#This Row],[TotalPrice]]), "True", "False")</f>
        <v>True</v>
      </c>
      <c r="P513" t="str">
        <f>IF((Sheet1[[#This Row],[ItemsInCart]]&gt;=Sheet1[[#This Row],[Quantity]]), "Good", "Bad")</f>
        <v>Good</v>
      </c>
      <c r="Q513" t="str">
        <f t="shared" si="35"/>
        <v>OK</v>
      </c>
      <c r="R513" t="str">
        <f t="shared" si="36"/>
        <v>GOOD</v>
      </c>
      <c r="S513">
        <f t="shared" si="37"/>
        <v>0</v>
      </c>
      <c r="T513">
        <f t="shared" si="38"/>
        <v>0</v>
      </c>
      <c r="U513" t="str">
        <f t="shared" si="39"/>
        <v>OK</v>
      </c>
    </row>
    <row r="514" spans="1:21">
      <c r="A514" t="s">
        <v>526</v>
      </c>
      <c r="B514" t="s">
        <v>4678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 t="str">
        <f>IF((Sheet1[[#This Row],[Quantity]]*Sheet1[[#This Row],[UnitPrice]])=(Sheet1[[#This Row],[TotalPrice]]), "True", "False")</f>
        <v>True</v>
      </c>
      <c r="P514" t="str">
        <f>IF((Sheet1[[#This Row],[ItemsInCart]]&gt;=Sheet1[[#This Row],[Quantity]]), "Good", "Bad")</f>
        <v>Good</v>
      </c>
      <c r="Q514" t="str">
        <f t="shared" ref="Q514:Q577" si="40">IF(AND(E514&gt;0, F514&gt;0,N514&gt;0),"OK","INVALID")</f>
        <v>OK</v>
      </c>
      <c r="R514" t="str">
        <f t="shared" ref="R514:R577" si="41">IF(OR(AND(OR(I514="Shipped",I514="Delivered",I514="Returned"),J514=""),AND(OR(I514="Processing",I514="Pending",I514="Cancelled"),J514&lt;&gt;"")),"BAD","GOOD")</f>
        <v>BAD</v>
      </c>
      <c r="S514">
        <f t="shared" ref="S514:S577" si="42">IF(AND(OR(I514="Shipped",I514="Delivered",I514="Returned"),J514=""),1,0)</f>
        <v>0</v>
      </c>
      <c r="T514">
        <f t="shared" ref="T514:T577" si="43">IF(AND(OR(I514="Processing",I514="Pending",I514="Cancelled"),J514&lt;&gt;""),1,0)</f>
        <v>1</v>
      </c>
      <c r="U514" t="str">
        <f t="shared" ref="U514:U577" si="44">IF(AND(OR(I514="Shipped",I514="Delivered"),J514=""),"MISSING_TRACKING", IF(AND(OR(I514="Processing",I514="Pending"),J514&lt;&gt;""),"DOCUMENTED", IF(AND(I514="Cancelled",J514&lt;&gt;""), "REVIEW_RETURN", "OK")))</f>
        <v>DOCUMENTED</v>
      </c>
    </row>
    <row r="515" spans="1:21">
      <c r="A515" t="s">
        <v>527</v>
      </c>
      <c r="B515" t="s">
        <v>4679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4961</v>
      </c>
      <c r="M515" t="s">
        <v>4279</v>
      </c>
      <c r="N515">
        <v>284.64</v>
      </c>
      <c r="O515" t="str">
        <f>IF((Sheet1[[#This Row],[Quantity]]*Sheet1[[#This Row],[UnitPrice]])=(Sheet1[[#This Row],[TotalPrice]]), "True", "False")</f>
        <v>True</v>
      </c>
      <c r="P515" t="str">
        <f>IF((Sheet1[[#This Row],[ItemsInCart]]&gt;=Sheet1[[#This Row],[Quantity]]), "Good", "Bad")</f>
        <v>Good</v>
      </c>
      <c r="Q515" t="str">
        <f t="shared" si="40"/>
        <v>OK</v>
      </c>
      <c r="R515" t="str">
        <f t="shared" si="41"/>
        <v>GOOD</v>
      </c>
      <c r="S515">
        <f t="shared" si="42"/>
        <v>0</v>
      </c>
      <c r="T515">
        <f t="shared" si="43"/>
        <v>0</v>
      </c>
      <c r="U515" t="str">
        <f t="shared" si="44"/>
        <v>OK</v>
      </c>
    </row>
    <row r="516" spans="1:21">
      <c r="A516" t="s">
        <v>528</v>
      </c>
      <c r="B516" t="s">
        <v>4680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 t="str">
        <f>IF((Sheet1[[#This Row],[Quantity]]*Sheet1[[#This Row],[UnitPrice]])=(Sheet1[[#This Row],[TotalPrice]]), "True", "False")</f>
        <v>True</v>
      </c>
      <c r="P516" t="str">
        <f>IF((Sheet1[[#This Row],[ItemsInCart]]&gt;=Sheet1[[#This Row],[Quantity]]), "Good", "Bad")</f>
        <v>Good</v>
      </c>
      <c r="Q516" t="str">
        <f t="shared" si="40"/>
        <v>OK</v>
      </c>
      <c r="R516" t="str">
        <f t="shared" si="41"/>
        <v>GOOD</v>
      </c>
      <c r="S516">
        <f t="shared" si="42"/>
        <v>0</v>
      </c>
      <c r="T516">
        <f t="shared" si="43"/>
        <v>0</v>
      </c>
      <c r="U516" t="str">
        <f t="shared" si="44"/>
        <v>OK</v>
      </c>
    </row>
    <row r="517" spans="1:21">
      <c r="A517" t="s">
        <v>529</v>
      </c>
      <c r="B517" t="s">
        <v>4652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 t="str">
        <f>IF((Sheet1[[#This Row],[Quantity]]*Sheet1[[#This Row],[UnitPrice]])=(Sheet1[[#This Row],[TotalPrice]]), "True", "False")</f>
        <v>True</v>
      </c>
      <c r="P517" t="str">
        <f>IF((Sheet1[[#This Row],[ItemsInCart]]&gt;=Sheet1[[#This Row],[Quantity]]), "Good", "Bad")</f>
        <v>Good</v>
      </c>
      <c r="Q517" t="str">
        <f t="shared" si="40"/>
        <v>OK</v>
      </c>
      <c r="R517" t="str">
        <f t="shared" si="41"/>
        <v>GOOD</v>
      </c>
      <c r="S517">
        <f t="shared" si="42"/>
        <v>0</v>
      </c>
      <c r="T517">
        <f t="shared" si="43"/>
        <v>0</v>
      </c>
      <c r="U517" t="str">
        <f t="shared" si="44"/>
        <v>OK</v>
      </c>
    </row>
    <row r="518" spans="1:21">
      <c r="A518" t="s">
        <v>530</v>
      </c>
      <c r="B518" t="s">
        <v>4441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4961</v>
      </c>
      <c r="M518" t="s">
        <v>4281</v>
      </c>
      <c r="N518">
        <v>500.97</v>
      </c>
      <c r="O518" t="str">
        <f>IF((Sheet1[[#This Row],[Quantity]]*Sheet1[[#This Row],[UnitPrice]])=(Sheet1[[#This Row],[TotalPrice]]), "True", "False")</f>
        <v>True</v>
      </c>
      <c r="P518" t="str">
        <f>IF((Sheet1[[#This Row],[ItemsInCart]]&gt;=Sheet1[[#This Row],[Quantity]]), "Good", "Bad")</f>
        <v>Good</v>
      </c>
      <c r="Q518" t="str">
        <f t="shared" si="40"/>
        <v>OK</v>
      </c>
      <c r="R518" t="str">
        <f t="shared" si="41"/>
        <v>GOOD</v>
      </c>
      <c r="S518">
        <f t="shared" si="42"/>
        <v>0</v>
      </c>
      <c r="T518">
        <f t="shared" si="43"/>
        <v>0</v>
      </c>
      <c r="U518" t="str">
        <f t="shared" si="44"/>
        <v>OK</v>
      </c>
    </row>
    <row r="519" spans="1:21">
      <c r="A519" t="s">
        <v>531</v>
      </c>
      <c r="B519" t="s">
        <v>4681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 t="str">
        <f>IF((Sheet1[[#This Row],[Quantity]]*Sheet1[[#This Row],[UnitPrice]])=(Sheet1[[#This Row],[TotalPrice]]), "True", "False")</f>
        <v>True</v>
      </c>
      <c r="P519" t="str">
        <f>IF((Sheet1[[#This Row],[ItemsInCart]]&gt;=Sheet1[[#This Row],[Quantity]]), "Good", "Bad")</f>
        <v>Good</v>
      </c>
      <c r="Q519" t="str">
        <f t="shared" si="40"/>
        <v>OK</v>
      </c>
      <c r="R519" t="str">
        <f t="shared" si="41"/>
        <v>BAD</v>
      </c>
      <c r="S519">
        <f t="shared" si="42"/>
        <v>0</v>
      </c>
      <c r="T519">
        <f t="shared" si="43"/>
        <v>1</v>
      </c>
      <c r="U519" t="str">
        <f t="shared" si="44"/>
        <v>REVIEW_RETURN</v>
      </c>
    </row>
    <row r="520" spans="1:21">
      <c r="A520" t="s">
        <v>532</v>
      </c>
      <c r="B520" t="s">
        <v>4682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 t="str">
        <f>IF((Sheet1[[#This Row],[Quantity]]*Sheet1[[#This Row],[UnitPrice]])=(Sheet1[[#This Row],[TotalPrice]]), "True", "False")</f>
        <v>True</v>
      </c>
      <c r="P520" t="str">
        <f>IF((Sheet1[[#This Row],[ItemsInCart]]&gt;=Sheet1[[#This Row],[Quantity]]), "Good", "Bad")</f>
        <v>Good</v>
      </c>
      <c r="Q520" t="str">
        <f t="shared" si="40"/>
        <v>OK</v>
      </c>
      <c r="R520" t="str">
        <f t="shared" si="41"/>
        <v>BAD</v>
      </c>
      <c r="S520">
        <f t="shared" si="42"/>
        <v>0</v>
      </c>
      <c r="T520">
        <f t="shared" si="43"/>
        <v>1</v>
      </c>
      <c r="U520" t="str">
        <f t="shared" si="44"/>
        <v>DOCUMENTED</v>
      </c>
    </row>
    <row r="521" spans="1:21">
      <c r="A521" t="s">
        <v>533</v>
      </c>
      <c r="B521" t="s">
        <v>4683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 t="str">
        <f>IF((Sheet1[[#This Row],[Quantity]]*Sheet1[[#This Row],[UnitPrice]])=(Sheet1[[#This Row],[TotalPrice]]), "True", "False")</f>
        <v>True</v>
      </c>
      <c r="P521" t="str">
        <f>IF((Sheet1[[#This Row],[ItemsInCart]]&gt;=Sheet1[[#This Row],[Quantity]]), "Good", "Bad")</f>
        <v>Good</v>
      </c>
      <c r="Q521" t="str">
        <f t="shared" si="40"/>
        <v>OK</v>
      </c>
      <c r="R521" t="str">
        <f t="shared" si="41"/>
        <v>GOOD</v>
      </c>
      <c r="S521">
        <f t="shared" si="42"/>
        <v>0</v>
      </c>
      <c r="T521">
        <f t="shared" si="43"/>
        <v>0</v>
      </c>
      <c r="U521" t="str">
        <f t="shared" si="44"/>
        <v>OK</v>
      </c>
    </row>
    <row r="522" spans="1:21">
      <c r="A522" t="s">
        <v>534</v>
      </c>
      <c r="B522" t="s">
        <v>4684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4961</v>
      </c>
      <c r="M522" t="s">
        <v>4279</v>
      </c>
      <c r="N522">
        <v>1907.94</v>
      </c>
      <c r="O522" t="str">
        <f>IF((Sheet1[[#This Row],[Quantity]]*Sheet1[[#This Row],[UnitPrice]])=(Sheet1[[#This Row],[TotalPrice]]), "True", "False")</f>
        <v>True</v>
      </c>
      <c r="P522" t="str">
        <f>IF((Sheet1[[#This Row],[ItemsInCart]]&gt;=Sheet1[[#This Row],[Quantity]]), "Good", "Bad")</f>
        <v>Good</v>
      </c>
      <c r="Q522" t="str">
        <f t="shared" si="40"/>
        <v>OK</v>
      </c>
      <c r="R522" t="str">
        <f t="shared" si="41"/>
        <v>GOOD</v>
      </c>
      <c r="S522">
        <f t="shared" si="42"/>
        <v>0</v>
      </c>
      <c r="T522">
        <f t="shared" si="43"/>
        <v>0</v>
      </c>
      <c r="U522" t="str">
        <f t="shared" si="44"/>
        <v>OK</v>
      </c>
    </row>
    <row r="523" spans="1:21">
      <c r="A523" t="s">
        <v>535</v>
      </c>
      <c r="B523" t="s">
        <v>4685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4961</v>
      </c>
      <c r="M523" t="s">
        <v>4281</v>
      </c>
      <c r="N523">
        <v>528.05999999999995</v>
      </c>
      <c r="O523" t="str">
        <f>IF((Sheet1[[#This Row],[Quantity]]*Sheet1[[#This Row],[UnitPrice]])=(Sheet1[[#This Row],[TotalPrice]]), "True", "False")</f>
        <v>True</v>
      </c>
      <c r="P523" t="str">
        <f>IF((Sheet1[[#This Row],[ItemsInCart]]&gt;=Sheet1[[#This Row],[Quantity]]), "Good", "Bad")</f>
        <v>Good</v>
      </c>
      <c r="Q523" t="str">
        <f t="shared" si="40"/>
        <v>OK</v>
      </c>
      <c r="R523" t="str">
        <f t="shared" si="41"/>
        <v>GOOD</v>
      </c>
      <c r="S523">
        <f t="shared" si="42"/>
        <v>0</v>
      </c>
      <c r="T523">
        <f t="shared" si="43"/>
        <v>0</v>
      </c>
      <c r="U523" t="str">
        <f t="shared" si="44"/>
        <v>OK</v>
      </c>
    </row>
    <row r="524" spans="1:21">
      <c r="A524" t="s">
        <v>536</v>
      </c>
      <c r="B524" t="s">
        <v>4605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 t="str">
        <f>IF((Sheet1[[#This Row],[Quantity]]*Sheet1[[#This Row],[UnitPrice]])=(Sheet1[[#This Row],[TotalPrice]]), "True", "False")</f>
        <v>True</v>
      </c>
      <c r="P524" t="str">
        <f>IF((Sheet1[[#This Row],[ItemsInCart]]&gt;=Sheet1[[#This Row],[Quantity]]), "Good", "Bad")</f>
        <v>Good</v>
      </c>
      <c r="Q524" t="str">
        <f t="shared" si="40"/>
        <v>OK</v>
      </c>
      <c r="R524" t="str">
        <f t="shared" si="41"/>
        <v>BAD</v>
      </c>
      <c r="S524">
        <f t="shared" si="42"/>
        <v>0</v>
      </c>
      <c r="T524">
        <f t="shared" si="43"/>
        <v>1</v>
      </c>
      <c r="U524" t="str">
        <f t="shared" si="44"/>
        <v>REVIEW_RETURN</v>
      </c>
    </row>
    <row r="525" spans="1:21">
      <c r="A525" t="s">
        <v>537</v>
      </c>
      <c r="B525" t="s">
        <v>4686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 t="str">
        <f>IF((Sheet1[[#This Row],[Quantity]]*Sheet1[[#This Row],[UnitPrice]])=(Sheet1[[#This Row],[TotalPrice]]), "True", "False")</f>
        <v>True</v>
      </c>
      <c r="P525" t="str">
        <f>IF((Sheet1[[#This Row],[ItemsInCart]]&gt;=Sheet1[[#This Row],[Quantity]]), "Good", "Bad")</f>
        <v>Good</v>
      </c>
      <c r="Q525" t="str">
        <f t="shared" si="40"/>
        <v>OK</v>
      </c>
      <c r="R525" t="str">
        <f t="shared" si="41"/>
        <v>GOOD</v>
      </c>
      <c r="S525">
        <f t="shared" si="42"/>
        <v>0</v>
      </c>
      <c r="T525">
        <f t="shared" si="43"/>
        <v>0</v>
      </c>
      <c r="U525" t="str">
        <f t="shared" si="44"/>
        <v>OK</v>
      </c>
    </row>
    <row r="526" spans="1:21">
      <c r="A526" t="s">
        <v>538</v>
      </c>
      <c r="B526" t="s">
        <v>4668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4961</v>
      </c>
      <c r="M526" t="s">
        <v>4279</v>
      </c>
      <c r="N526">
        <v>153</v>
      </c>
      <c r="O526" t="str">
        <f>IF((Sheet1[[#This Row],[Quantity]]*Sheet1[[#This Row],[UnitPrice]])=(Sheet1[[#This Row],[TotalPrice]]), "True", "False")</f>
        <v>True</v>
      </c>
      <c r="P526" t="str">
        <f>IF((Sheet1[[#This Row],[ItemsInCart]]&gt;=Sheet1[[#This Row],[Quantity]]), "Good", "Bad")</f>
        <v>Good</v>
      </c>
      <c r="Q526" t="str">
        <f t="shared" si="40"/>
        <v>OK</v>
      </c>
      <c r="R526" t="str">
        <f t="shared" si="41"/>
        <v>GOOD</v>
      </c>
      <c r="S526">
        <f t="shared" si="42"/>
        <v>0</v>
      </c>
      <c r="T526">
        <f t="shared" si="43"/>
        <v>0</v>
      </c>
      <c r="U526" t="str">
        <f t="shared" si="44"/>
        <v>OK</v>
      </c>
    </row>
    <row r="527" spans="1:21">
      <c r="A527" t="s">
        <v>539</v>
      </c>
      <c r="B527" t="s">
        <v>4687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 t="str">
        <f>IF((Sheet1[[#This Row],[Quantity]]*Sheet1[[#This Row],[UnitPrice]])=(Sheet1[[#This Row],[TotalPrice]]), "True", "False")</f>
        <v>True</v>
      </c>
      <c r="P527" t="str">
        <f>IF((Sheet1[[#This Row],[ItemsInCart]]&gt;=Sheet1[[#This Row],[Quantity]]), "Good", "Bad")</f>
        <v>Good</v>
      </c>
      <c r="Q527" t="str">
        <f t="shared" si="40"/>
        <v>OK</v>
      </c>
      <c r="R527" t="str">
        <f t="shared" si="41"/>
        <v>GOOD</v>
      </c>
      <c r="S527">
        <f t="shared" si="42"/>
        <v>0</v>
      </c>
      <c r="T527">
        <f t="shared" si="43"/>
        <v>0</v>
      </c>
      <c r="U527" t="str">
        <f t="shared" si="44"/>
        <v>OK</v>
      </c>
    </row>
    <row r="528" spans="1:21">
      <c r="A528" t="s">
        <v>540</v>
      </c>
      <c r="B528" t="s">
        <v>4688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 t="str">
        <f>IF((Sheet1[[#This Row],[Quantity]]*Sheet1[[#This Row],[UnitPrice]])=(Sheet1[[#This Row],[TotalPrice]]), "True", "False")</f>
        <v>True</v>
      </c>
      <c r="P528" t="str">
        <f>IF((Sheet1[[#This Row],[ItemsInCart]]&gt;=Sheet1[[#This Row],[Quantity]]), "Good", "Bad")</f>
        <v>Good</v>
      </c>
      <c r="Q528" t="str">
        <f t="shared" si="40"/>
        <v>OK</v>
      </c>
      <c r="R528" t="str">
        <f t="shared" si="41"/>
        <v>GOOD</v>
      </c>
      <c r="S528">
        <f t="shared" si="42"/>
        <v>0</v>
      </c>
      <c r="T528">
        <f t="shared" si="43"/>
        <v>0</v>
      </c>
      <c r="U528" t="str">
        <f t="shared" si="44"/>
        <v>OK</v>
      </c>
    </row>
    <row r="529" spans="1:21">
      <c r="A529" t="s">
        <v>541</v>
      </c>
      <c r="B529" t="s">
        <v>4689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 t="str">
        <f>IF((Sheet1[[#This Row],[Quantity]]*Sheet1[[#This Row],[UnitPrice]])=(Sheet1[[#This Row],[TotalPrice]]), "True", "False")</f>
        <v>True</v>
      </c>
      <c r="P529" t="str">
        <f>IF((Sheet1[[#This Row],[ItemsInCart]]&gt;=Sheet1[[#This Row],[Quantity]]), "Good", "Bad")</f>
        <v>Good</v>
      </c>
      <c r="Q529" t="str">
        <f t="shared" si="40"/>
        <v>OK</v>
      </c>
      <c r="R529" t="str">
        <f t="shared" si="41"/>
        <v>BAD</v>
      </c>
      <c r="S529">
        <f t="shared" si="42"/>
        <v>0</v>
      </c>
      <c r="T529">
        <f t="shared" si="43"/>
        <v>1</v>
      </c>
      <c r="U529" t="str">
        <f t="shared" si="44"/>
        <v>REVIEW_RETURN</v>
      </c>
    </row>
    <row r="530" spans="1:21">
      <c r="A530" t="s">
        <v>542</v>
      </c>
      <c r="B530" t="s">
        <v>4690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 t="str">
        <f>IF((Sheet1[[#This Row],[Quantity]]*Sheet1[[#This Row],[UnitPrice]])=(Sheet1[[#This Row],[TotalPrice]]), "True", "False")</f>
        <v>True</v>
      </c>
      <c r="P530" t="str">
        <f>IF((Sheet1[[#This Row],[ItemsInCart]]&gt;=Sheet1[[#This Row],[Quantity]]), "Good", "Bad")</f>
        <v>Good</v>
      </c>
      <c r="Q530" t="str">
        <f t="shared" si="40"/>
        <v>OK</v>
      </c>
      <c r="R530" t="str">
        <f t="shared" si="41"/>
        <v>GOOD</v>
      </c>
      <c r="S530">
        <f t="shared" si="42"/>
        <v>0</v>
      </c>
      <c r="T530">
        <f t="shared" si="43"/>
        <v>0</v>
      </c>
      <c r="U530" t="str">
        <f t="shared" si="44"/>
        <v>OK</v>
      </c>
    </row>
    <row r="531" spans="1:21">
      <c r="A531" t="s">
        <v>543</v>
      </c>
      <c r="B531" t="s">
        <v>4441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 t="str">
        <f>IF((Sheet1[[#This Row],[Quantity]]*Sheet1[[#This Row],[UnitPrice]])=(Sheet1[[#This Row],[TotalPrice]]), "True", "False")</f>
        <v>True</v>
      </c>
      <c r="P531" t="str">
        <f>IF((Sheet1[[#This Row],[ItemsInCart]]&gt;=Sheet1[[#This Row],[Quantity]]), "Good", "Bad")</f>
        <v>Good</v>
      </c>
      <c r="Q531" t="str">
        <f t="shared" si="40"/>
        <v>OK</v>
      </c>
      <c r="R531" t="str">
        <f t="shared" si="41"/>
        <v>BAD</v>
      </c>
      <c r="S531">
        <f t="shared" si="42"/>
        <v>0</v>
      </c>
      <c r="T531">
        <f t="shared" si="43"/>
        <v>1</v>
      </c>
      <c r="U531" t="str">
        <f t="shared" si="44"/>
        <v>DOCUMENTED</v>
      </c>
    </row>
    <row r="532" spans="1:21">
      <c r="A532" t="s">
        <v>544</v>
      </c>
      <c r="B532" t="s">
        <v>4691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4961</v>
      </c>
      <c r="M532" t="s">
        <v>4282</v>
      </c>
      <c r="N532">
        <v>357.64</v>
      </c>
      <c r="O532" t="str">
        <f>IF((Sheet1[[#This Row],[Quantity]]*Sheet1[[#This Row],[UnitPrice]])=(Sheet1[[#This Row],[TotalPrice]]), "True", "False")</f>
        <v>True</v>
      </c>
      <c r="P532" t="str">
        <f>IF((Sheet1[[#This Row],[ItemsInCart]]&gt;=Sheet1[[#This Row],[Quantity]]), "Good", "Bad")</f>
        <v>Good</v>
      </c>
      <c r="Q532" t="str">
        <f t="shared" si="40"/>
        <v>OK</v>
      </c>
      <c r="R532" t="str">
        <f t="shared" si="41"/>
        <v>BAD</v>
      </c>
      <c r="S532">
        <f t="shared" si="42"/>
        <v>0</v>
      </c>
      <c r="T532">
        <f t="shared" si="43"/>
        <v>1</v>
      </c>
      <c r="U532" t="str">
        <f t="shared" si="44"/>
        <v>DOCUMENTED</v>
      </c>
    </row>
    <row r="533" spans="1:21">
      <c r="A533" t="s">
        <v>545</v>
      </c>
      <c r="B533" t="s">
        <v>4650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4961</v>
      </c>
      <c r="M533" t="s">
        <v>4279</v>
      </c>
      <c r="N533">
        <v>1600.05</v>
      </c>
      <c r="O533" t="str">
        <f>IF((Sheet1[[#This Row],[Quantity]]*Sheet1[[#This Row],[UnitPrice]])=(Sheet1[[#This Row],[TotalPrice]]), "True", "False")</f>
        <v>True</v>
      </c>
      <c r="P533" t="str">
        <f>IF((Sheet1[[#This Row],[ItemsInCart]]&gt;=Sheet1[[#This Row],[Quantity]]), "Good", "Bad")</f>
        <v>Good</v>
      </c>
      <c r="Q533" t="str">
        <f t="shared" si="40"/>
        <v>OK</v>
      </c>
      <c r="R533" t="str">
        <f t="shared" si="41"/>
        <v>GOOD</v>
      </c>
      <c r="S533">
        <f t="shared" si="42"/>
        <v>0</v>
      </c>
      <c r="T533">
        <f t="shared" si="43"/>
        <v>0</v>
      </c>
      <c r="U533" t="str">
        <f t="shared" si="44"/>
        <v>OK</v>
      </c>
    </row>
    <row r="534" spans="1:21">
      <c r="A534" t="s">
        <v>546</v>
      </c>
      <c r="B534" t="s">
        <v>4403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4961</v>
      </c>
      <c r="M534" t="s">
        <v>4280</v>
      </c>
      <c r="N534">
        <v>82</v>
      </c>
      <c r="O534" t="str">
        <f>IF((Sheet1[[#This Row],[Quantity]]*Sheet1[[#This Row],[UnitPrice]])=(Sheet1[[#This Row],[TotalPrice]]), "True", "False")</f>
        <v>True</v>
      </c>
      <c r="P534" t="str">
        <f>IF((Sheet1[[#This Row],[ItemsInCart]]&gt;=Sheet1[[#This Row],[Quantity]]), "Good", "Bad")</f>
        <v>Good</v>
      </c>
      <c r="Q534" t="str">
        <f t="shared" si="40"/>
        <v>OK</v>
      </c>
      <c r="R534" t="str">
        <f t="shared" si="41"/>
        <v>GOOD</v>
      </c>
      <c r="S534">
        <f t="shared" si="42"/>
        <v>0</v>
      </c>
      <c r="T534">
        <f t="shared" si="43"/>
        <v>0</v>
      </c>
      <c r="U534" t="str">
        <f t="shared" si="44"/>
        <v>OK</v>
      </c>
    </row>
    <row r="535" spans="1:21">
      <c r="A535" t="s">
        <v>547</v>
      </c>
      <c r="B535" t="s">
        <v>4692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 t="str">
        <f>IF((Sheet1[[#This Row],[Quantity]]*Sheet1[[#This Row],[UnitPrice]])=(Sheet1[[#This Row],[TotalPrice]]), "True", "False")</f>
        <v>True</v>
      </c>
      <c r="P535" t="str">
        <f>IF((Sheet1[[#This Row],[ItemsInCart]]&gt;=Sheet1[[#This Row],[Quantity]]), "Good", "Bad")</f>
        <v>Good</v>
      </c>
      <c r="Q535" t="str">
        <f t="shared" si="40"/>
        <v>OK</v>
      </c>
      <c r="R535" t="str">
        <f t="shared" si="41"/>
        <v>GOOD</v>
      </c>
      <c r="S535">
        <f t="shared" si="42"/>
        <v>0</v>
      </c>
      <c r="T535">
        <f t="shared" si="43"/>
        <v>0</v>
      </c>
      <c r="U535" t="str">
        <f t="shared" si="44"/>
        <v>OK</v>
      </c>
    </row>
    <row r="536" spans="1:21">
      <c r="A536" t="s">
        <v>548</v>
      </c>
      <c r="B536" t="s">
        <v>4592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 t="str">
        <f>IF((Sheet1[[#This Row],[Quantity]]*Sheet1[[#This Row],[UnitPrice]])=(Sheet1[[#This Row],[TotalPrice]]), "True", "False")</f>
        <v>True</v>
      </c>
      <c r="P536" t="str">
        <f>IF((Sheet1[[#This Row],[ItemsInCart]]&gt;=Sheet1[[#This Row],[Quantity]]), "Good", "Bad")</f>
        <v>Good</v>
      </c>
      <c r="Q536" t="str">
        <f t="shared" si="40"/>
        <v>OK</v>
      </c>
      <c r="R536" t="str">
        <f t="shared" si="41"/>
        <v>BAD</v>
      </c>
      <c r="S536">
        <f t="shared" si="42"/>
        <v>0</v>
      </c>
      <c r="T536">
        <f t="shared" si="43"/>
        <v>1</v>
      </c>
      <c r="U536" t="str">
        <f t="shared" si="44"/>
        <v>REVIEW_RETURN</v>
      </c>
    </row>
    <row r="537" spans="1:21">
      <c r="A537" t="s">
        <v>549</v>
      </c>
      <c r="B537" t="s">
        <v>4308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 t="str">
        <f>IF((Sheet1[[#This Row],[Quantity]]*Sheet1[[#This Row],[UnitPrice]])=(Sheet1[[#This Row],[TotalPrice]]), "True", "False")</f>
        <v>True</v>
      </c>
      <c r="P537" t="str">
        <f>IF((Sheet1[[#This Row],[ItemsInCart]]&gt;=Sheet1[[#This Row],[Quantity]]), "Good", "Bad")</f>
        <v>Good</v>
      </c>
      <c r="Q537" t="str">
        <f t="shared" si="40"/>
        <v>OK</v>
      </c>
      <c r="R537" t="str">
        <f t="shared" si="41"/>
        <v>BAD</v>
      </c>
      <c r="S537">
        <f t="shared" si="42"/>
        <v>0</v>
      </c>
      <c r="T537">
        <f t="shared" si="43"/>
        <v>1</v>
      </c>
      <c r="U537" t="str">
        <f t="shared" si="44"/>
        <v>REVIEW_RETURN</v>
      </c>
    </row>
    <row r="538" spans="1:21">
      <c r="A538" t="s">
        <v>550</v>
      </c>
      <c r="B538" t="s">
        <v>4693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4961</v>
      </c>
      <c r="M538" t="s">
        <v>4280</v>
      </c>
      <c r="N538">
        <v>616.1</v>
      </c>
      <c r="O538" t="str">
        <f>IF((Sheet1[[#This Row],[Quantity]]*Sheet1[[#This Row],[UnitPrice]])=(Sheet1[[#This Row],[TotalPrice]]), "True", "False")</f>
        <v>True</v>
      </c>
      <c r="P538" t="str">
        <f>IF((Sheet1[[#This Row],[ItemsInCart]]&gt;=Sheet1[[#This Row],[Quantity]]), "Good", "Bad")</f>
        <v>Good</v>
      </c>
      <c r="Q538" t="str">
        <f t="shared" si="40"/>
        <v>OK</v>
      </c>
      <c r="R538" t="str">
        <f t="shared" si="41"/>
        <v>GOOD</v>
      </c>
      <c r="S538">
        <f t="shared" si="42"/>
        <v>0</v>
      </c>
      <c r="T538">
        <f t="shared" si="43"/>
        <v>0</v>
      </c>
      <c r="U538" t="str">
        <f t="shared" si="44"/>
        <v>OK</v>
      </c>
    </row>
    <row r="539" spans="1:21">
      <c r="A539" t="s">
        <v>551</v>
      </c>
      <c r="B539" t="s">
        <v>4694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 t="str">
        <f>IF((Sheet1[[#This Row],[Quantity]]*Sheet1[[#This Row],[UnitPrice]])=(Sheet1[[#This Row],[TotalPrice]]), "True", "False")</f>
        <v>True</v>
      </c>
      <c r="P539" t="str">
        <f>IF((Sheet1[[#This Row],[ItemsInCart]]&gt;=Sheet1[[#This Row],[Quantity]]), "Good", "Bad")</f>
        <v>Good</v>
      </c>
      <c r="Q539" t="str">
        <f t="shared" si="40"/>
        <v>OK</v>
      </c>
      <c r="R539" t="str">
        <f t="shared" si="41"/>
        <v>GOOD</v>
      </c>
      <c r="S539">
        <f t="shared" si="42"/>
        <v>0</v>
      </c>
      <c r="T539">
        <f t="shared" si="43"/>
        <v>0</v>
      </c>
      <c r="U539" t="str">
        <f t="shared" si="44"/>
        <v>OK</v>
      </c>
    </row>
    <row r="540" spans="1:21">
      <c r="A540" t="s">
        <v>552</v>
      </c>
      <c r="B540" t="s">
        <v>4358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 t="str">
        <f>IF((Sheet1[[#This Row],[Quantity]]*Sheet1[[#This Row],[UnitPrice]])=(Sheet1[[#This Row],[TotalPrice]]), "True", "False")</f>
        <v>True</v>
      </c>
      <c r="P540" t="str">
        <f>IF((Sheet1[[#This Row],[ItemsInCart]]&gt;=Sheet1[[#This Row],[Quantity]]), "Good", "Bad")</f>
        <v>Good</v>
      </c>
      <c r="Q540" t="str">
        <f t="shared" si="40"/>
        <v>OK</v>
      </c>
      <c r="R540" t="str">
        <f t="shared" si="41"/>
        <v>GOOD</v>
      </c>
      <c r="S540">
        <f t="shared" si="42"/>
        <v>0</v>
      </c>
      <c r="T540">
        <f t="shared" si="43"/>
        <v>0</v>
      </c>
      <c r="U540" t="str">
        <f t="shared" si="44"/>
        <v>OK</v>
      </c>
    </row>
    <row r="541" spans="1:21">
      <c r="A541" t="s">
        <v>553</v>
      </c>
      <c r="B541" t="s">
        <v>4686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 t="str">
        <f>IF((Sheet1[[#This Row],[Quantity]]*Sheet1[[#This Row],[UnitPrice]])=(Sheet1[[#This Row],[TotalPrice]]), "True", "False")</f>
        <v>True</v>
      </c>
      <c r="P541" t="str">
        <f>IF((Sheet1[[#This Row],[ItemsInCart]]&gt;=Sheet1[[#This Row],[Quantity]]), "Good", "Bad")</f>
        <v>Good</v>
      </c>
      <c r="Q541" t="str">
        <f t="shared" si="40"/>
        <v>OK</v>
      </c>
      <c r="R541" t="str">
        <f t="shared" si="41"/>
        <v>GOOD</v>
      </c>
      <c r="S541">
        <f t="shared" si="42"/>
        <v>0</v>
      </c>
      <c r="T541">
        <f t="shared" si="43"/>
        <v>0</v>
      </c>
      <c r="U541" t="str">
        <f t="shared" si="44"/>
        <v>OK</v>
      </c>
    </row>
    <row r="542" spans="1:21">
      <c r="A542" t="s">
        <v>554</v>
      </c>
      <c r="B542" t="s">
        <v>4695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4961</v>
      </c>
      <c r="M542" t="s">
        <v>4279</v>
      </c>
      <c r="N542">
        <v>3243.25</v>
      </c>
      <c r="O542" t="str">
        <f>IF((Sheet1[[#This Row],[Quantity]]*Sheet1[[#This Row],[UnitPrice]])=(Sheet1[[#This Row],[TotalPrice]]), "True", "False")</f>
        <v>True</v>
      </c>
      <c r="P542" t="str">
        <f>IF((Sheet1[[#This Row],[ItemsInCart]]&gt;=Sheet1[[#This Row],[Quantity]]), "Good", "Bad")</f>
        <v>Good</v>
      </c>
      <c r="Q542" t="str">
        <f t="shared" si="40"/>
        <v>OK</v>
      </c>
      <c r="R542" t="str">
        <f t="shared" si="41"/>
        <v>BAD</v>
      </c>
      <c r="S542">
        <f t="shared" si="42"/>
        <v>0</v>
      </c>
      <c r="T542">
        <f t="shared" si="43"/>
        <v>1</v>
      </c>
      <c r="U542" t="str">
        <f t="shared" si="44"/>
        <v>DOCUMENTED</v>
      </c>
    </row>
    <row r="543" spans="1:21">
      <c r="A543" t="s">
        <v>555</v>
      </c>
      <c r="B543" t="s">
        <v>4696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4961</v>
      </c>
      <c r="M543" t="s">
        <v>4278</v>
      </c>
      <c r="N543">
        <v>2280.3000000000002</v>
      </c>
      <c r="O543" t="str">
        <f>IF((Sheet1[[#This Row],[Quantity]]*Sheet1[[#This Row],[UnitPrice]])=(Sheet1[[#This Row],[TotalPrice]]), "True", "False")</f>
        <v>True</v>
      </c>
      <c r="P543" t="str">
        <f>IF((Sheet1[[#This Row],[ItemsInCart]]&gt;=Sheet1[[#This Row],[Quantity]]), "Good", "Bad")</f>
        <v>Good</v>
      </c>
      <c r="Q543" t="str">
        <f t="shared" si="40"/>
        <v>OK</v>
      </c>
      <c r="R543" t="str">
        <f t="shared" si="41"/>
        <v>BAD</v>
      </c>
      <c r="S543">
        <f t="shared" si="42"/>
        <v>0</v>
      </c>
      <c r="T543">
        <f t="shared" si="43"/>
        <v>1</v>
      </c>
      <c r="U543" t="str">
        <f t="shared" si="44"/>
        <v>DOCUMENTED</v>
      </c>
    </row>
    <row r="544" spans="1:21">
      <c r="A544" t="s">
        <v>556</v>
      </c>
      <c r="B544" t="s">
        <v>4697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 t="str">
        <f>IF((Sheet1[[#This Row],[Quantity]]*Sheet1[[#This Row],[UnitPrice]])=(Sheet1[[#This Row],[TotalPrice]]), "True", "False")</f>
        <v>True</v>
      </c>
      <c r="P544" t="str">
        <f>IF((Sheet1[[#This Row],[ItemsInCart]]&gt;=Sheet1[[#This Row],[Quantity]]), "Good", "Bad")</f>
        <v>Good</v>
      </c>
      <c r="Q544" t="str">
        <f t="shared" si="40"/>
        <v>OK</v>
      </c>
      <c r="R544" t="str">
        <f t="shared" si="41"/>
        <v>BAD</v>
      </c>
      <c r="S544">
        <f t="shared" si="42"/>
        <v>0</v>
      </c>
      <c r="T544">
        <f t="shared" si="43"/>
        <v>1</v>
      </c>
      <c r="U544" t="str">
        <f t="shared" si="44"/>
        <v>REVIEW_RETURN</v>
      </c>
    </row>
    <row r="545" spans="1:21">
      <c r="A545" t="s">
        <v>557</v>
      </c>
      <c r="B545" t="s">
        <v>4698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 t="str">
        <f>IF((Sheet1[[#This Row],[Quantity]]*Sheet1[[#This Row],[UnitPrice]])=(Sheet1[[#This Row],[TotalPrice]]), "True", "False")</f>
        <v>True</v>
      </c>
      <c r="P545" t="str">
        <f>IF((Sheet1[[#This Row],[ItemsInCart]]&gt;=Sheet1[[#This Row],[Quantity]]), "Good", "Bad")</f>
        <v>Good</v>
      </c>
      <c r="Q545" t="str">
        <f t="shared" si="40"/>
        <v>OK</v>
      </c>
      <c r="R545" t="str">
        <f t="shared" si="41"/>
        <v>GOOD</v>
      </c>
      <c r="S545">
        <f t="shared" si="42"/>
        <v>0</v>
      </c>
      <c r="T545">
        <f t="shared" si="43"/>
        <v>0</v>
      </c>
      <c r="U545" t="str">
        <f t="shared" si="44"/>
        <v>OK</v>
      </c>
    </row>
    <row r="546" spans="1:21">
      <c r="A546" t="s">
        <v>558</v>
      </c>
      <c r="B546" t="s">
        <v>4699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 t="str">
        <f>IF((Sheet1[[#This Row],[Quantity]]*Sheet1[[#This Row],[UnitPrice]])=(Sheet1[[#This Row],[TotalPrice]]), "True", "False")</f>
        <v>True</v>
      </c>
      <c r="P546" t="str">
        <f>IF((Sheet1[[#This Row],[ItemsInCart]]&gt;=Sheet1[[#This Row],[Quantity]]), "Good", "Bad")</f>
        <v>Good</v>
      </c>
      <c r="Q546" t="str">
        <f t="shared" si="40"/>
        <v>OK</v>
      </c>
      <c r="R546" t="str">
        <f t="shared" si="41"/>
        <v>GOOD</v>
      </c>
      <c r="S546">
        <f t="shared" si="42"/>
        <v>0</v>
      </c>
      <c r="T546">
        <f t="shared" si="43"/>
        <v>0</v>
      </c>
      <c r="U546" t="str">
        <f t="shared" si="44"/>
        <v>OK</v>
      </c>
    </row>
    <row r="547" spans="1:21">
      <c r="A547" t="s">
        <v>559</v>
      </c>
      <c r="B547" t="s">
        <v>4546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4961</v>
      </c>
      <c r="M547" t="s">
        <v>4278</v>
      </c>
      <c r="N547">
        <v>196.94</v>
      </c>
      <c r="O547" t="str">
        <f>IF((Sheet1[[#This Row],[Quantity]]*Sheet1[[#This Row],[UnitPrice]])=(Sheet1[[#This Row],[TotalPrice]]), "True", "False")</f>
        <v>True</v>
      </c>
      <c r="P547" t="str">
        <f>IF((Sheet1[[#This Row],[ItemsInCart]]&gt;=Sheet1[[#This Row],[Quantity]]), "Good", "Bad")</f>
        <v>Good</v>
      </c>
      <c r="Q547" t="str">
        <f t="shared" si="40"/>
        <v>OK</v>
      </c>
      <c r="R547" t="str">
        <f t="shared" si="41"/>
        <v>GOOD</v>
      </c>
      <c r="S547">
        <f t="shared" si="42"/>
        <v>0</v>
      </c>
      <c r="T547">
        <f t="shared" si="43"/>
        <v>0</v>
      </c>
      <c r="U547" t="str">
        <f t="shared" si="44"/>
        <v>OK</v>
      </c>
    </row>
    <row r="548" spans="1:21">
      <c r="A548" t="s">
        <v>560</v>
      </c>
      <c r="B548" t="s">
        <v>4700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 t="str">
        <f>IF((Sheet1[[#This Row],[Quantity]]*Sheet1[[#This Row],[UnitPrice]])=(Sheet1[[#This Row],[TotalPrice]]), "True", "False")</f>
        <v>True</v>
      </c>
      <c r="P548" t="str">
        <f>IF((Sheet1[[#This Row],[ItemsInCart]]&gt;=Sheet1[[#This Row],[Quantity]]), "Good", "Bad")</f>
        <v>Good</v>
      </c>
      <c r="Q548" t="str">
        <f t="shared" si="40"/>
        <v>OK</v>
      </c>
      <c r="R548" t="str">
        <f t="shared" si="41"/>
        <v>GOOD</v>
      </c>
      <c r="S548">
        <f t="shared" si="42"/>
        <v>0</v>
      </c>
      <c r="T548">
        <f t="shared" si="43"/>
        <v>0</v>
      </c>
      <c r="U548" t="str">
        <f t="shared" si="44"/>
        <v>OK</v>
      </c>
    </row>
    <row r="549" spans="1:21">
      <c r="A549" t="s">
        <v>561</v>
      </c>
      <c r="B549" t="s">
        <v>4321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 t="str">
        <f>IF((Sheet1[[#This Row],[Quantity]]*Sheet1[[#This Row],[UnitPrice]])=(Sheet1[[#This Row],[TotalPrice]]), "True", "False")</f>
        <v>True</v>
      </c>
      <c r="P549" t="str">
        <f>IF((Sheet1[[#This Row],[ItemsInCart]]&gt;=Sheet1[[#This Row],[Quantity]]), "Good", "Bad")</f>
        <v>Good</v>
      </c>
      <c r="Q549" t="str">
        <f t="shared" si="40"/>
        <v>OK</v>
      </c>
      <c r="R549" t="str">
        <f t="shared" si="41"/>
        <v>GOOD</v>
      </c>
      <c r="S549">
        <f t="shared" si="42"/>
        <v>0</v>
      </c>
      <c r="T549">
        <f t="shared" si="43"/>
        <v>0</v>
      </c>
      <c r="U549" t="str">
        <f t="shared" si="44"/>
        <v>OK</v>
      </c>
    </row>
    <row r="550" spans="1:21">
      <c r="A550" t="s">
        <v>562</v>
      </c>
      <c r="B550" t="s">
        <v>4363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 t="str">
        <f>IF((Sheet1[[#This Row],[Quantity]]*Sheet1[[#This Row],[UnitPrice]])=(Sheet1[[#This Row],[TotalPrice]]), "True", "False")</f>
        <v>True</v>
      </c>
      <c r="P550" t="str">
        <f>IF((Sheet1[[#This Row],[ItemsInCart]]&gt;=Sheet1[[#This Row],[Quantity]]), "Good", "Bad")</f>
        <v>Good</v>
      </c>
      <c r="Q550" t="str">
        <f t="shared" si="40"/>
        <v>OK</v>
      </c>
      <c r="R550" t="str">
        <f t="shared" si="41"/>
        <v>GOOD</v>
      </c>
      <c r="S550">
        <f t="shared" si="42"/>
        <v>0</v>
      </c>
      <c r="T550">
        <f t="shared" si="43"/>
        <v>0</v>
      </c>
      <c r="U550" t="str">
        <f t="shared" si="44"/>
        <v>OK</v>
      </c>
    </row>
    <row r="551" spans="1:21">
      <c r="A551" t="s">
        <v>563</v>
      </c>
      <c r="B551" t="s">
        <v>4369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 t="str">
        <f>IF((Sheet1[[#This Row],[Quantity]]*Sheet1[[#This Row],[UnitPrice]])=(Sheet1[[#This Row],[TotalPrice]]), "True", "False")</f>
        <v>True</v>
      </c>
      <c r="P551" t="str">
        <f>IF((Sheet1[[#This Row],[ItemsInCart]]&gt;=Sheet1[[#This Row],[Quantity]]), "Good", "Bad")</f>
        <v>Good</v>
      </c>
      <c r="Q551" t="str">
        <f t="shared" si="40"/>
        <v>OK</v>
      </c>
      <c r="R551" t="str">
        <f t="shared" si="41"/>
        <v>BAD</v>
      </c>
      <c r="S551">
        <f t="shared" si="42"/>
        <v>0</v>
      </c>
      <c r="T551">
        <f t="shared" si="43"/>
        <v>1</v>
      </c>
      <c r="U551" t="str">
        <f t="shared" si="44"/>
        <v>REVIEW_RETURN</v>
      </c>
    </row>
    <row r="552" spans="1:21">
      <c r="A552" t="s">
        <v>564</v>
      </c>
      <c r="B552" t="s">
        <v>4701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 t="str">
        <f>IF((Sheet1[[#This Row],[Quantity]]*Sheet1[[#This Row],[UnitPrice]])=(Sheet1[[#This Row],[TotalPrice]]), "True", "False")</f>
        <v>True</v>
      </c>
      <c r="P552" t="str">
        <f>IF((Sheet1[[#This Row],[ItemsInCart]]&gt;=Sheet1[[#This Row],[Quantity]]), "Good", "Bad")</f>
        <v>Good</v>
      </c>
      <c r="Q552" t="str">
        <f t="shared" si="40"/>
        <v>OK</v>
      </c>
      <c r="R552" t="str">
        <f t="shared" si="41"/>
        <v>GOOD</v>
      </c>
      <c r="S552">
        <f t="shared" si="42"/>
        <v>0</v>
      </c>
      <c r="T552">
        <f t="shared" si="43"/>
        <v>0</v>
      </c>
      <c r="U552" t="str">
        <f t="shared" si="44"/>
        <v>OK</v>
      </c>
    </row>
    <row r="553" spans="1:21">
      <c r="A553" t="s">
        <v>565</v>
      </c>
      <c r="B553" t="s">
        <v>4702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 t="str">
        <f>IF((Sheet1[[#This Row],[Quantity]]*Sheet1[[#This Row],[UnitPrice]])=(Sheet1[[#This Row],[TotalPrice]]), "True", "False")</f>
        <v>True</v>
      </c>
      <c r="P553" t="str">
        <f>IF((Sheet1[[#This Row],[ItemsInCart]]&gt;=Sheet1[[#This Row],[Quantity]]), "Good", "Bad")</f>
        <v>Good</v>
      </c>
      <c r="Q553" t="str">
        <f t="shared" si="40"/>
        <v>OK</v>
      </c>
      <c r="R553" t="str">
        <f t="shared" si="41"/>
        <v>GOOD</v>
      </c>
      <c r="S553">
        <f t="shared" si="42"/>
        <v>0</v>
      </c>
      <c r="T553">
        <f t="shared" si="43"/>
        <v>0</v>
      </c>
      <c r="U553" t="str">
        <f t="shared" si="44"/>
        <v>OK</v>
      </c>
    </row>
    <row r="554" spans="1:21">
      <c r="A554" t="s">
        <v>566</v>
      </c>
      <c r="B554" t="s">
        <v>4703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 t="str">
        <f>IF((Sheet1[[#This Row],[Quantity]]*Sheet1[[#This Row],[UnitPrice]])=(Sheet1[[#This Row],[TotalPrice]]), "True", "False")</f>
        <v>True</v>
      </c>
      <c r="P554" t="str">
        <f>IF((Sheet1[[#This Row],[ItemsInCart]]&gt;=Sheet1[[#This Row],[Quantity]]), "Good", "Bad")</f>
        <v>Good</v>
      </c>
      <c r="Q554" t="str">
        <f t="shared" si="40"/>
        <v>OK</v>
      </c>
      <c r="R554" t="str">
        <f t="shared" si="41"/>
        <v>GOOD</v>
      </c>
      <c r="S554">
        <f t="shared" si="42"/>
        <v>0</v>
      </c>
      <c r="T554">
        <f t="shared" si="43"/>
        <v>0</v>
      </c>
      <c r="U554" t="str">
        <f t="shared" si="44"/>
        <v>OK</v>
      </c>
    </row>
    <row r="555" spans="1:21">
      <c r="A555" t="s">
        <v>567</v>
      </c>
      <c r="B555" t="s">
        <v>4704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 t="str">
        <f>IF((Sheet1[[#This Row],[Quantity]]*Sheet1[[#This Row],[UnitPrice]])=(Sheet1[[#This Row],[TotalPrice]]), "True", "False")</f>
        <v>True</v>
      </c>
      <c r="P555" t="str">
        <f>IF((Sheet1[[#This Row],[ItemsInCart]]&gt;=Sheet1[[#This Row],[Quantity]]), "Good", "Bad")</f>
        <v>Good</v>
      </c>
      <c r="Q555" t="str">
        <f t="shared" si="40"/>
        <v>OK</v>
      </c>
      <c r="R555" t="str">
        <f t="shared" si="41"/>
        <v>BAD</v>
      </c>
      <c r="S555">
        <f t="shared" si="42"/>
        <v>0</v>
      </c>
      <c r="T555">
        <f t="shared" si="43"/>
        <v>1</v>
      </c>
      <c r="U555" t="str">
        <f t="shared" si="44"/>
        <v>REVIEW_RETURN</v>
      </c>
    </row>
    <row r="556" spans="1:21">
      <c r="A556" t="s">
        <v>568</v>
      </c>
      <c r="B556" t="s">
        <v>4705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 t="str">
        <f>IF((Sheet1[[#This Row],[Quantity]]*Sheet1[[#This Row],[UnitPrice]])=(Sheet1[[#This Row],[TotalPrice]]), "True", "False")</f>
        <v>True</v>
      </c>
      <c r="P556" t="str">
        <f>IF((Sheet1[[#This Row],[ItemsInCart]]&gt;=Sheet1[[#This Row],[Quantity]]), "Good", "Bad")</f>
        <v>Good</v>
      </c>
      <c r="Q556" t="str">
        <f t="shared" si="40"/>
        <v>OK</v>
      </c>
      <c r="R556" t="str">
        <f t="shared" si="41"/>
        <v>GOOD</v>
      </c>
      <c r="S556">
        <f t="shared" si="42"/>
        <v>0</v>
      </c>
      <c r="T556">
        <f t="shared" si="43"/>
        <v>0</v>
      </c>
      <c r="U556" t="str">
        <f t="shared" si="44"/>
        <v>OK</v>
      </c>
    </row>
    <row r="557" spans="1:21">
      <c r="A557" t="s">
        <v>569</v>
      </c>
      <c r="B557" t="s">
        <v>4316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4961</v>
      </c>
      <c r="M557" t="s">
        <v>4281</v>
      </c>
      <c r="N557">
        <v>92.04</v>
      </c>
      <c r="O557" t="str">
        <f>IF((Sheet1[[#This Row],[Quantity]]*Sheet1[[#This Row],[UnitPrice]])=(Sheet1[[#This Row],[TotalPrice]]), "True", "False")</f>
        <v>True</v>
      </c>
      <c r="P557" t="str">
        <f>IF((Sheet1[[#This Row],[ItemsInCart]]&gt;=Sheet1[[#This Row],[Quantity]]), "Good", "Bad")</f>
        <v>Good</v>
      </c>
      <c r="Q557" t="str">
        <f t="shared" si="40"/>
        <v>OK</v>
      </c>
      <c r="R557" t="str">
        <f t="shared" si="41"/>
        <v>GOOD</v>
      </c>
      <c r="S557">
        <f t="shared" si="42"/>
        <v>0</v>
      </c>
      <c r="T557">
        <f t="shared" si="43"/>
        <v>0</v>
      </c>
      <c r="U557" t="str">
        <f t="shared" si="44"/>
        <v>OK</v>
      </c>
    </row>
    <row r="558" spans="1:21">
      <c r="A558" t="s">
        <v>570</v>
      </c>
      <c r="B558" t="s">
        <v>4706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 t="str">
        <f>IF((Sheet1[[#This Row],[Quantity]]*Sheet1[[#This Row],[UnitPrice]])=(Sheet1[[#This Row],[TotalPrice]]), "True", "False")</f>
        <v>True</v>
      </c>
      <c r="P558" t="str">
        <f>IF((Sheet1[[#This Row],[ItemsInCart]]&gt;=Sheet1[[#This Row],[Quantity]]), "Good", "Bad")</f>
        <v>Good</v>
      </c>
      <c r="Q558" t="str">
        <f t="shared" si="40"/>
        <v>OK</v>
      </c>
      <c r="R558" t="str">
        <f t="shared" si="41"/>
        <v>BAD</v>
      </c>
      <c r="S558">
        <f t="shared" si="42"/>
        <v>0</v>
      </c>
      <c r="T558">
        <f t="shared" si="43"/>
        <v>1</v>
      </c>
      <c r="U558" t="str">
        <f t="shared" si="44"/>
        <v>DOCUMENTED</v>
      </c>
    </row>
    <row r="559" spans="1:21">
      <c r="A559" t="s">
        <v>571</v>
      </c>
      <c r="B559" t="s">
        <v>4565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 t="str">
        <f>IF((Sheet1[[#This Row],[Quantity]]*Sheet1[[#This Row],[UnitPrice]])=(Sheet1[[#This Row],[TotalPrice]]), "True", "False")</f>
        <v>True</v>
      </c>
      <c r="P559" t="str">
        <f>IF((Sheet1[[#This Row],[ItemsInCart]]&gt;=Sheet1[[#This Row],[Quantity]]), "Good", "Bad")</f>
        <v>Good</v>
      </c>
      <c r="Q559" t="str">
        <f t="shared" si="40"/>
        <v>OK</v>
      </c>
      <c r="R559" t="str">
        <f t="shared" si="41"/>
        <v>BAD</v>
      </c>
      <c r="S559">
        <f t="shared" si="42"/>
        <v>0</v>
      </c>
      <c r="T559">
        <f t="shared" si="43"/>
        <v>1</v>
      </c>
      <c r="U559" t="str">
        <f t="shared" si="44"/>
        <v>DOCUMENTED</v>
      </c>
    </row>
    <row r="560" spans="1:21">
      <c r="A560" t="s">
        <v>572</v>
      </c>
      <c r="B560" t="s">
        <v>4707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 t="str">
        <f>IF((Sheet1[[#This Row],[Quantity]]*Sheet1[[#This Row],[UnitPrice]])=(Sheet1[[#This Row],[TotalPrice]]), "True", "False")</f>
        <v>True</v>
      </c>
      <c r="P560" t="str">
        <f>IF((Sheet1[[#This Row],[ItemsInCart]]&gt;=Sheet1[[#This Row],[Quantity]]), "Good", "Bad")</f>
        <v>Good</v>
      </c>
      <c r="Q560" t="str">
        <f t="shared" si="40"/>
        <v>OK</v>
      </c>
      <c r="R560" t="str">
        <f t="shared" si="41"/>
        <v>GOOD</v>
      </c>
      <c r="S560">
        <f t="shared" si="42"/>
        <v>0</v>
      </c>
      <c r="T560">
        <f t="shared" si="43"/>
        <v>0</v>
      </c>
      <c r="U560" t="str">
        <f t="shared" si="44"/>
        <v>OK</v>
      </c>
    </row>
    <row r="561" spans="1:21">
      <c r="A561" t="s">
        <v>573</v>
      </c>
      <c r="B561" t="s">
        <v>4399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 t="str">
        <f>IF((Sheet1[[#This Row],[Quantity]]*Sheet1[[#This Row],[UnitPrice]])=(Sheet1[[#This Row],[TotalPrice]]), "True", "False")</f>
        <v>True</v>
      </c>
      <c r="P561" t="str">
        <f>IF((Sheet1[[#This Row],[ItemsInCart]]&gt;=Sheet1[[#This Row],[Quantity]]), "Good", "Bad")</f>
        <v>Good</v>
      </c>
      <c r="Q561" t="str">
        <f t="shared" si="40"/>
        <v>OK</v>
      </c>
      <c r="R561" t="str">
        <f t="shared" si="41"/>
        <v>BAD</v>
      </c>
      <c r="S561">
        <f t="shared" si="42"/>
        <v>0</v>
      </c>
      <c r="T561">
        <f t="shared" si="43"/>
        <v>1</v>
      </c>
      <c r="U561" t="str">
        <f t="shared" si="44"/>
        <v>REVIEW_RETURN</v>
      </c>
    </row>
    <row r="562" spans="1:21">
      <c r="A562" t="s">
        <v>574</v>
      </c>
      <c r="B562" t="s">
        <v>4708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4961</v>
      </c>
      <c r="M562" t="s">
        <v>4280</v>
      </c>
      <c r="N562">
        <v>2355.4</v>
      </c>
      <c r="O562" t="str">
        <f>IF((Sheet1[[#This Row],[Quantity]]*Sheet1[[#This Row],[UnitPrice]])=(Sheet1[[#This Row],[TotalPrice]]), "True", "False")</f>
        <v>True</v>
      </c>
      <c r="P562" t="str">
        <f>IF((Sheet1[[#This Row],[ItemsInCart]]&gt;=Sheet1[[#This Row],[Quantity]]), "Good", "Bad")</f>
        <v>Good</v>
      </c>
      <c r="Q562" t="str">
        <f t="shared" si="40"/>
        <v>OK</v>
      </c>
      <c r="R562" t="str">
        <f t="shared" si="41"/>
        <v>BAD</v>
      </c>
      <c r="S562">
        <f t="shared" si="42"/>
        <v>0</v>
      </c>
      <c r="T562">
        <f t="shared" si="43"/>
        <v>1</v>
      </c>
      <c r="U562" t="str">
        <f t="shared" si="44"/>
        <v>DOCUMENTED</v>
      </c>
    </row>
    <row r="563" spans="1:21">
      <c r="A563" t="s">
        <v>575</v>
      </c>
      <c r="B563" t="s">
        <v>4708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4961</v>
      </c>
      <c r="M563" t="s">
        <v>4282</v>
      </c>
      <c r="N563">
        <v>989.56</v>
      </c>
      <c r="O563" t="str">
        <f>IF((Sheet1[[#This Row],[Quantity]]*Sheet1[[#This Row],[UnitPrice]])=(Sheet1[[#This Row],[TotalPrice]]), "True", "False")</f>
        <v>True</v>
      </c>
      <c r="P563" t="str">
        <f>IF((Sheet1[[#This Row],[ItemsInCart]]&gt;=Sheet1[[#This Row],[Quantity]]), "Good", "Bad")</f>
        <v>Good</v>
      </c>
      <c r="Q563" t="str">
        <f t="shared" si="40"/>
        <v>OK</v>
      </c>
      <c r="R563" t="str">
        <f t="shared" si="41"/>
        <v>GOOD</v>
      </c>
      <c r="S563">
        <f t="shared" si="42"/>
        <v>0</v>
      </c>
      <c r="T563">
        <f t="shared" si="43"/>
        <v>0</v>
      </c>
      <c r="U563" t="str">
        <f t="shared" si="44"/>
        <v>OK</v>
      </c>
    </row>
    <row r="564" spans="1:21">
      <c r="A564" t="s">
        <v>576</v>
      </c>
      <c r="B564" t="s">
        <v>4709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 t="str">
        <f>IF((Sheet1[[#This Row],[Quantity]]*Sheet1[[#This Row],[UnitPrice]])=(Sheet1[[#This Row],[TotalPrice]]), "True", "False")</f>
        <v>True</v>
      </c>
      <c r="P564" t="str">
        <f>IF((Sheet1[[#This Row],[ItemsInCart]]&gt;=Sheet1[[#This Row],[Quantity]]), "Good", "Bad")</f>
        <v>Good</v>
      </c>
      <c r="Q564" t="str">
        <f t="shared" si="40"/>
        <v>OK</v>
      </c>
      <c r="R564" t="str">
        <f t="shared" si="41"/>
        <v>GOOD</v>
      </c>
      <c r="S564">
        <f t="shared" si="42"/>
        <v>0</v>
      </c>
      <c r="T564">
        <f t="shared" si="43"/>
        <v>0</v>
      </c>
      <c r="U564" t="str">
        <f t="shared" si="44"/>
        <v>OK</v>
      </c>
    </row>
    <row r="565" spans="1:21">
      <c r="A565" t="s">
        <v>577</v>
      </c>
      <c r="B565" t="s">
        <v>4710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 t="str">
        <f>IF((Sheet1[[#This Row],[Quantity]]*Sheet1[[#This Row],[UnitPrice]])=(Sheet1[[#This Row],[TotalPrice]]), "True", "False")</f>
        <v>True</v>
      </c>
      <c r="P565" t="str">
        <f>IF((Sheet1[[#This Row],[ItemsInCart]]&gt;=Sheet1[[#This Row],[Quantity]]), "Good", "Bad")</f>
        <v>Good</v>
      </c>
      <c r="Q565" t="str">
        <f t="shared" si="40"/>
        <v>OK</v>
      </c>
      <c r="R565" t="str">
        <f t="shared" si="41"/>
        <v>GOOD</v>
      </c>
      <c r="S565">
        <f t="shared" si="42"/>
        <v>0</v>
      </c>
      <c r="T565">
        <f t="shared" si="43"/>
        <v>0</v>
      </c>
      <c r="U565" t="str">
        <f t="shared" si="44"/>
        <v>OK</v>
      </c>
    </row>
    <row r="566" spans="1:21">
      <c r="A566" t="s">
        <v>578</v>
      </c>
      <c r="B566" t="s">
        <v>4711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 t="str">
        <f>IF((Sheet1[[#This Row],[Quantity]]*Sheet1[[#This Row],[UnitPrice]])=(Sheet1[[#This Row],[TotalPrice]]), "True", "False")</f>
        <v>True</v>
      </c>
      <c r="P566" t="str">
        <f>IF((Sheet1[[#This Row],[ItemsInCart]]&gt;=Sheet1[[#This Row],[Quantity]]), "Good", "Bad")</f>
        <v>Good</v>
      </c>
      <c r="Q566" t="str">
        <f t="shared" si="40"/>
        <v>OK</v>
      </c>
      <c r="R566" t="str">
        <f t="shared" si="41"/>
        <v>BAD</v>
      </c>
      <c r="S566">
        <f t="shared" si="42"/>
        <v>0</v>
      </c>
      <c r="T566">
        <f t="shared" si="43"/>
        <v>1</v>
      </c>
      <c r="U566" t="str">
        <f t="shared" si="44"/>
        <v>REVIEW_RETURN</v>
      </c>
    </row>
    <row r="567" spans="1:21">
      <c r="A567" t="s">
        <v>579</v>
      </c>
      <c r="B567" t="s">
        <v>4712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4961</v>
      </c>
      <c r="M567" t="s">
        <v>4281</v>
      </c>
      <c r="N567">
        <v>1539.9</v>
      </c>
      <c r="O567" t="str">
        <f>IF((Sheet1[[#This Row],[Quantity]]*Sheet1[[#This Row],[UnitPrice]])=(Sheet1[[#This Row],[TotalPrice]]), "True", "False")</f>
        <v>True</v>
      </c>
      <c r="P567" t="str">
        <f>IF((Sheet1[[#This Row],[ItemsInCart]]&gt;=Sheet1[[#This Row],[Quantity]]), "Good", "Bad")</f>
        <v>Good</v>
      </c>
      <c r="Q567" t="str">
        <f t="shared" si="40"/>
        <v>OK</v>
      </c>
      <c r="R567" t="str">
        <f t="shared" si="41"/>
        <v>BAD</v>
      </c>
      <c r="S567">
        <f t="shared" si="42"/>
        <v>0</v>
      </c>
      <c r="T567">
        <f t="shared" si="43"/>
        <v>1</v>
      </c>
      <c r="U567" t="str">
        <f t="shared" si="44"/>
        <v>DOCUMENTED</v>
      </c>
    </row>
    <row r="568" spans="1:21">
      <c r="A568" t="s">
        <v>580</v>
      </c>
      <c r="B568" t="s">
        <v>4454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 t="str">
        <f>IF((Sheet1[[#This Row],[Quantity]]*Sheet1[[#This Row],[UnitPrice]])=(Sheet1[[#This Row],[TotalPrice]]), "True", "False")</f>
        <v>True</v>
      </c>
      <c r="P568" t="str">
        <f>IF((Sheet1[[#This Row],[ItemsInCart]]&gt;=Sheet1[[#This Row],[Quantity]]), "Good", "Bad")</f>
        <v>Good</v>
      </c>
      <c r="Q568" t="str">
        <f t="shared" si="40"/>
        <v>OK</v>
      </c>
      <c r="R568" t="str">
        <f t="shared" si="41"/>
        <v>BAD</v>
      </c>
      <c r="S568">
        <f t="shared" si="42"/>
        <v>0</v>
      </c>
      <c r="T568">
        <f t="shared" si="43"/>
        <v>1</v>
      </c>
      <c r="U568" t="str">
        <f t="shared" si="44"/>
        <v>REVIEW_RETURN</v>
      </c>
    </row>
    <row r="569" spans="1:21">
      <c r="A569" t="s">
        <v>581</v>
      </c>
      <c r="B569" t="s">
        <v>4713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 t="str">
        <f>IF((Sheet1[[#This Row],[Quantity]]*Sheet1[[#This Row],[UnitPrice]])=(Sheet1[[#This Row],[TotalPrice]]), "True", "False")</f>
        <v>True</v>
      </c>
      <c r="P569" t="str">
        <f>IF((Sheet1[[#This Row],[ItemsInCart]]&gt;=Sheet1[[#This Row],[Quantity]]), "Good", "Bad")</f>
        <v>Good</v>
      </c>
      <c r="Q569" t="str">
        <f t="shared" si="40"/>
        <v>OK</v>
      </c>
      <c r="R569" t="str">
        <f t="shared" si="41"/>
        <v>GOOD</v>
      </c>
      <c r="S569">
        <f t="shared" si="42"/>
        <v>0</v>
      </c>
      <c r="T569">
        <f t="shared" si="43"/>
        <v>0</v>
      </c>
      <c r="U569" t="str">
        <f t="shared" si="44"/>
        <v>OK</v>
      </c>
    </row>
    <row r="570" spans="1:21">
      <c r="A570" t="s">
        <v>582</v>
      </c>
      <c r="B570" t="s">
        <v>4684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4961</v>
      </c>
      <c r="M570" t="s">
        <v>4282</v>
      </c>
      <c r="N570">
        <v>687.98</v>
      </c>
      <c r="O570" t="str">
        <f>IF((Sheet1[[#This Row],[Quantity]]*Sheet1[[#This Row],[UnitPrice]])=(Sheet1[[#This Row],[TotalPrice]]), "True", "False")</f>
        <v>True</v>
      </c>
      <c r="P570" t="str">
        <f>IF((Sheet1[[#This Row],[ItemsInCart]]&gt;=Sheet1[[#This Row],[Quantity]]), "Good", "Bad")</f>
        <v>Good</v>
      </c>
      <c r="Q570" t="str">
        <f t="shared" si="40"/>
        <v>OK</v>
      </c>
      <c r="R570" t="str">
        <f t="shared" si="41"/>
        <v>GOOD</v>
      </c>
      <c r="S570">
        <f t="shared" si="42"/>
        <v>0</v>
      </c>
      <c r="T570">
        <f t="shared" si="43"/>
        <v>0</v>
      </c>
      <c r="U570" t="str">
        <f t="shared" si="44"/>
        <v>OK</v>
      </c>
    </row>
    <row r="571" spans="1:21">
      <c r="A571" t="s">
        <v>583</v>
      </c>
      <c r="B571" t="s">
        <v>4312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 t="str">
        <f>IF((Sheet1[[#This Row],[Quantity]]*Sheet1[[#This Row],[UnitPrice]])=(Sheet1[[#This Row],[TotalPrice]]), "True", "False")</f>
        <v>True</v>
      </c>
      <c r="P571" t="str">
        <f>IF((Sheet1[[#This Row],[ItemsInCart]]&gt;=Sheet1[[#This Row],[Quantity]]), "Good", "Bad")</f>
        <v>Good</v>
      </c>
      <c r="Q571" t="str">
        <f t="shared" si="40"/>
        <v>OK</v>
      </c>
      <c r="R571" t="str">
        <f t="shared" si="41"/>
        <v>GOOD</v>
      </c>
      <c r="S571">
        <f t="shared" si="42"/>
        <v>0</v>
      </c>
      <c r="T571">
        <f t="shared" si="43"/>
        <v>0</v>
      </c>
      <c r="U571" t="str">
        <f t="shared" si="44"/>
        <v>OK</v>
      </c>
    </row>
    <row r="572" spans="1:21">
      <c r="A572" t="s">
        <v>584</v>
      </c>
      <c r="B572" t="s">
        <v>4714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 t="str">
        <f>IF((Sheet1[[#This Row],[Quantity]]*Sheet1[[#This Row],[UnitPrice]])=(Sheet1[[#This Row],[TotalPrice]]), "True", "False")</f>
        <v>True</v>
      </c>
      <c r="P572" t="str">
        <f>IF((Sheet1[[#This Row],[ItemsInCart]]&gt;=Sheet1[[#This Row],[Quantity]]), "Good", "Bad")</f>
        <v>Good</v>
      </c>
      <c r="Q572" t="str">
        <f t="shared" si="40"/>
        <v>OK</v>
      </c>
      <c r="R572" t="str">
        <f t="shared" si="41"/>
        <v>BAD</v>
      </c>
      <c r="S572">
        <f t="shared" si="42"/>
        <v>0</v>
      </c>
      <c r="T572">
        <f t="shared" si="43"/>
        <v>1</v>
      </c>
      <c r="U572" t="str">
        <f t="shared" si="44"/>
        <v>DOCUMENTED</v>
      </c>
    </row>
    <row r="573" spans="1:21">
      <c r="A573" t="s">
        <v>585</v>
      </c>
      <c r="B573" t="s">
        <v>4715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 t="str">
        <f>IF((Sheet1[[#This Row],[Quantity]]*Sheet1[[#This Row],[UnitPrice]])=(Sheet1[[#This Row],[TotalPrice]]), "True", "False")</f>
        <v>True</v>
      </c>
      <c r="P573" t="str">
        <f>IF((Sheet1[[#This Row],[ItemsInCart]]&gt;=Sheet1[[#This Row],[Quantity]]), "Good", "Bad")</f>
        <v>Good</v>
      </c>
      <c r="Q573" t="str">
        <f t="shared" si="40"/>
        <v>OK</v>
      </c>
      <c r="R573" t="str">
        <f t="shared" si="41"/>
        <v>GOOD</v>
      </c>
      <c r="S573">
        <f t="shared" si="42"/>
        <v>0</v>
      </c>
      <c r="T573">
        <f t="shared" si="43"/>
        <v>0</v>
      </c>
      <c r="U573" t="str">
        <f t="shared" si="44"/>
        <v>OK</v>
      </c>
    </row>
    <row r="574" spans="1:21">
      <c r="A574" t="s">
        <v>586</v>
      </c>
      <c r="B574" t="s">
        <v>4716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 t="str">
        <f>IF((Sheet1[[#This Row],[Quantity]]*Sheet1[[#This Row],[UnitPrice]])=(Sheet1[[#This Row],[TotalPrice]]), "True", "False")</f>
        <v>True</v>
      </c>
      <c r="P574" t="str">
        <f>IF((Sheet1[[#This Row],[ItemsInCart]]&gt;=Sheet1[[#This Row],[Quantity]]), "Good", "Bad")</f>
        <v>Good</v>
      </c>
      <c r="Q574" t="str">
        <f t="shared" si="40"/>
        <v>OK</v>
      </c>
      <c r="R574" t="str">
        <f t="shared" si="41"/>
        <v>GOOD</v>
      </c>
      <c r="S574">
        <f t="shared" si="42"/>
        <v>0</v>
      </c>
      <c r="T574">
        <f t="shared" si="43"/>
        <v>0</v>
      </c>
      <c r="U574" t="str">
        <f t="shared" si="44"/>
        <v>OK</v>
      </c>
    </row>
    <row r="575" spans="1:21">
      <c r="A575" t="s">
        <v>587</v>
      </c>
      <c r="B575" t="s">
        <v>4544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4961</v>
      </c>
      <c r="M575" t="s">
        <v>4278</v>
      </c>
      <c r="N575">
        <v>2107.1</v>
      </c>
      <c r="O575" t="str">
        <f>IF((Sheet1[[#This Row],[Quantity]]*Sheet1[[#This Row],[UnitPrice]])=(Sheet1[[#This Row],[TotalPrice]]), "True", "False")</f>
        <v>True</v>
      </c>
      <c r="P575" t="str">
        <f>IF((Sheet1[[#This Row],[ItemsInCart]]&gt;=Sheet1[[#This Row],[Quantity]]), "Good", "Bad")</f>
        <v>Good</v>
      </c>
      <c r="Q575" t="str">
        <f t="shared" si="40"/>
        <v>OK</v>
      </c>
      <c r="R575" t="str">
        <f t="shared" si="41"/>
        <v>BAD</v>
      </c>
      <c r="S575">
        <f t="shared" si="42"/>
        <v>0</v>
      </c>
      <c r="T575">
        <f t="shared" si="43"/>
        <v>1</v>
      </c>
      <c r="U575" t="str">
        <f t="shared" si="44"/>
        <v>REVIEW_RETURN</v>
      </c>
    </row>
    <row r="576" spans="1:21">
      <c r="A576" t="s">
        <v>588</v>
      </c>
      <c r="B576" t="s">
        <v>4717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 t="str">
        <f>IF((Sheet1[[#This Row],[Quantity]]*Sheet1[[#This Row],[UnitPrice]])=(Sheet1[[#This Row],[TotalPrice]]), "True", "False")</f>
        <v>True</v>
      </c>
      <c r="P576" t="str">
        <f>IF((Sheet1[[#This Row],[ItemsInCart]]&gt;=Sheet1[[#This Row],[Quantity]]), "Good", "Bad")</f>
        <v>Good</v>
      </c>
      <c r="Q576" t="str">
        <f t="shared" si="40"/>
        <v>OK</v>
      </c>
      <c r="R576" t="str">
        <f t="shared" si="41"/>
        <v>BAD</v>
      </c>
      <c r="S576">
        <f t="shared" si="42"/>
        <v>0</v>
      </c>
      <c r="T576">
        <f t="shared" si="43"/>
        <v>1</v>
      </c>
      <c r="U576" t="str">
        <f t="shared" si="44"/>
        <v>DOCUMENTED</v>
      </c>
    </row>
    <row r="577" spans="1:21">
      <c r="A577" t="s">
        <v>589</v>
      </c>
      <c r="B577" t="s">
        <v>4606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 t="str">
        <f>IF((Sheet1[[#This Row],[Quantity]]*Sheet1[[#This Row],[UnitPrice]])=(Sheet1[[#This Row],[TotalPrice]]), "True", "False")</f>
        <v>True</v>
      </c>
      <c r="P577" t="str">
        <f>IF((Sheet1[[#This Row],[ItemsInCart]]&gt;=Sheet1[[#This Row],[Quantity]]), "Good", "Bad")</f>
        <v>Good</v>
      </c>
      <c r="Q577" t="str">
        <f t="shared" si="40"/>
        <v>OK</v>
      </c>
      <c r="R577" t="str">
        <f t="shared" si="41"/>
        <v>GOOD</v>
      </c>
      <c r="S577">
        <f t="shared" si="42"/>
        <v>0</v>
      </c>
      <c r="T577">
        <f t="shared" si="43"/>
        <v>0</v>
      </c>
      <c r="U577" t="str">
        <f t="shared" si="44"/>
        <v>OK</v>
      </c>
    </row>
    <row r="578" spans="1:21">
      <c r="A578" t="s">
        <v>590</v>
      </c>
      <c r="B578" t="s">
        <v>4665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4961</v>
      </c>
      <c r="M578" t="s">
        <v>4281</v>
      </c>
      <c r="N578">
        <v>395.4</v>
      </c>
      <c r="O578" t="str">
        <f>IF((Sheet1[[#This Row],[Quantity]]*Sheet1[[#This Row],[UnitPrice]])=(Sheet1[[#This Row],[TotalPrice]]), "True", "False")</f>
        <v>True</v>
      </c>
      <c r="P578" t="str">
        <f>IF((Sheet1[[#This Row],[ItemsInCart]]&gt;=Sheet1[[#This Row],[Quantity]]), "Good", "Bad")</f>
        <v>Good</v>
      </c>
      <c r="Q578" t="str">
        <f t="shared" ref="Q578:Q641" si="45">IF(AND(E578&gt;0, F578&gt;0,N578&gt;0),"OK","INVALID")</f>
        <v>OK</v>
      </c>
      <c r="R578" t="str">
        <f t="shared" ref="R578:R641" si="46">IF(OR(AND(OR(I578="Shipped",I578="Delivered",I578="Returned"),J578=""),AND(OR(I578="Processing",I578="Pending",I578="Cancelled"),J578&lt;&gt;"")),"BAD","GOOD")</f>
        <v>BAD</v>
      </c>
      <c r="S578">
        <f t="shared" ref="S578:S641" si="47">IF(AND(OR(I578="Shipped",I578="Delivered",I578="Returned"),J578=""),1,0)</f>
        <v>0</v>
      </c>
      <c r="T578">
        <f t="shared" ref="T578:T641" si="48">IF(AND(OR(I578="Processing",I578="Pending",I578="Cancelled"),J578&lt;&gt;""),1,0)</f>
        <v>1</v>
      </c>
      <c r="U578" t="str">
        <f t="shared" ref="U578:U641" si="49">IF(AND(OR(I578="Shipped",I578="Delivered"),J578=""),"MISSING_TRACKING", IF(AND(OR(I578="Processing",I578="Pending"),J578&lt;&gt;""),"DOCUMENTED", IF(AND(I578="Cancelled",J578&lt;&gt;""), "REVIEW_RETURN", "OK")))</f>
        <v>DOCUMENTED</v>
      </c>
    </row>
    <row r="579" spans="1:21">
      <c r="A579" t="s">
        <v>591</v>
      </c>
      <c r="B579" t="s">
        <v>4338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 t="str">
        <f>IF((Sheet1[[#This Row],[Quantity]]*Sheet1[[#This Row],[UnitPrice]])=(Sheet1[[#This Row],[TotalPrice]]), "True", "False")</f>
        <v>True</v>
      </c>
      <c r="P579" t="str">
        <f>IF((Sheet1[[#This Row],[ItemsInCart]]&gt;=Sheet1[[#This Row],[Quantity]]), "Good", "Bad")</f>
        <v>Good</v>
      </c>
      <c r="Q579" t="str">
        <f t="shared" si="45"/>
        <v>OK</v>
      </c>
      <c r="R579" t="str">
        <f t="shared" si="46"/>
        <v>GOOD</v>
      </c>
      <c r="S579">
        <f t="shared" si="47"/>
        <v>0</v>
      </c>
      <c r="T579">
        <f t="shared" si="48"/>
        <v>0</v>
      </c>
      <c r="U579" t="str">
        <f t="shared" si="49"/>
        <v>OK</v>
      </c>
    </row>
    <row r="580" spans="1:21">
      <c r="A580" t="s">
        <v>592</v>
      </c>
      <c r="B580" t="s">
        <v>4367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 t="str">
        <f>IF((Sheet1[[#This Row],[Quantity]]*Sheet1[[#This Row],[UnitPrice]])=(Sheet1[[#This Row],[TotalPrice]]), "True", "False")</f>
        <v>True</v>
      </c>
      <c r="P580" t="str">
        <f>IF((Sheet1[[#This Row],[ItemsInCart]]&gt;=Sheet1[[#This Row],[Quantity]]), "Good", "Bad")</f>
        <v>Good</v>
      </c>
      <c r="Q580" t="str">
        <f t="shared" si="45"/>
        <v>OK</v>
      </c>
      <c r="R580" t="str">
        <f t="shared" si="46"/>
        <v>GOOD</v>
      </c>
      <c r="S580">
        <f t="shared" si="47"/>
        <v>0</v>
      </c>
      <c r="T580">
        <f t="shared" si="48"/>
        <v>0</v>
      </c>
      <c r="U580" t="str">
        <f t="shared" si="49"/>
        <v>OK</v>
      </c>
    </row>
    <row r="581" spans="1:21">
      <c r="A581" t="s">
        <v>593</v>
      </c>
      <c r="B581" t="s">
        <v>4526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 t="str">
        <f>IF((Sheet1[[#This Row],[Quantity]]*Sheet1[[#This Row],[UnitPrice]])=(Sheet1[[#This Row],[TotalPrice]]), "True", "False")</f>
        <v>True</v>
      </c>
      <c r="P581" t="str">
        <f>IF((Sheet1[[#This Row],[ItemsInCart]]&gt;=Sheet1[[#This Row],[Quantity]]), "Good", "Bad")</f>
        <v>Good</v>
      </c>
      <c r="Q581" t="str">
        <f t="shared" si="45"/>
        <v>OK</v>
      </c>
      <c r="R581" t="str">
        <f t="shared" si="46"/>
        <v>GOOD</v>
      </c>
      <c r="S581">
        <f t="shared" si="47"/>
        <v>0</v>
      </c>
      <c r="T581">
        <f t="shared" si="48"/>
        <v>0</v>
      </c>
      <c r="U581" t="str">
        <f t="shared" si="49"/>
        <v>OK</v>
      </c>
    </row>
    <row r="582" spans="1:21">
      <c r="A582" t="s">
        <v>594</v>
      </c>
      <c r="B582" t="s">
        <v>4697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 t="str">
        <f>IF((Sheet1[[#This Row],[Quantity]]*Sheet1[[#This Row],[UnitPrice]])=(Sheet1[[#This Row],[TotalPrice]]), "True", "False")</f>
        <v>True</v>
      </c>
      <c r="P582" t="str">
        <f>IF((Sheet1[[#This Row],[ItemsInCart]]&gt;=Sheet1[[#This Row],[Quantity]]), "Good", "Bad")</f>
        <v>Good</v>
      </c>
      <c r="Q582" t="str">
        <f t="shared" si="45"/>
        <v>OK</v>
      </c>
      <c r="R582" t="str">
        <f t="shared" si="46"/>
        <v>GOOD</v>
      </c>
      <c r="S582">
        <f t="shared" si="47"/>
        <v>0</v>
      </c>
      <c r="T582">
        <f t="shared" si="48"/>
        <v>0</v>
      </c>
      <c r="U582" t="str">
        <f t="shared" si="49"/>
        <v>OK</v>
      </c>
    </row>
    <row r="583" spans="1:21">
      <c r="A583" t="s">
        <v>595</v>
      </c>
      <c r="B583" t="s">
        <v>4718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4961</v>
      </c>
      <c r="M583" t="s">
        <v>4279</v>
      </c>
      <c r="N583">
        <v>627.34</v>
      </c>
      <c r="O583" t="str">
        <f>IF((Sheet1[[#This Row],[Quantity]]*Sheet1[[#This Row],[UnitPrice]])=(Sheet1[[#This Row],[TotalPrice]]), "True", "False")</f>
        <v>True</v>
      </c>
      <c r="P583" t="str">
        <f>IF((Sheet1[[#This Row],[ItemsInCart]]&gt;=Sheet1[[#This Row],[Quantity]]), "Good", "Bad")</f>
        <v>Good</v>
      </c>
      <c r="Q583" t="str">
        <f t="shared" si="45"/>
        <v>OK</v>
      </c>
      <c r="R583" t="str">
        <f t="shared" si="46"/>
        <v>GOOD</v>
      </c>
      <c r="S583">
        <f t="shared" si="47"/>
        <v>0</v>
      </c>
      <c r="T583">
        <f t="shared" si="48"/>
        <v>0</v>
      </c>
      <c r="U583" t="str">
        <f t="shared" si="49"/>
        <v>OK</v>
      </c>
    </row>
    <row r="584" spans="1:21">
      <c r="A584" t="s">
        <v>596</v>
      </c>
      <c r="B584" t="s">
        <v>4719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 t="str">
        <f>IF((Sheet1[[#This Row],[Quantity]]*Sheet1[[#This Row],[UnitPrice]])=(Sheet1[[#This Row],[TotalPrice]]), "True", "False")</f>
        <v>True</v>
      </c>
      <c r="P584" t="str">
        <f>IF((Sheet1[[#This Row],[ItemsInCart]]&gt;=Sheet1[[#This Row],[Quantity]]), "Good", "Bad")</f>
        <v>Good</v>
      </c>
      <c r="Q584" t="str">
        <f t="shared" si="45"/>
        <v>OK</v>
      </c>
      <c r="R584" t="str">
        <f t="shared" si="46"/>
        <v>GOOD</v>
      </c>
      <c r="S584">
        <f t="shared" si="47"/>
        <v>0</v>
      </c>
      <c r="T584">
        <f t="shared" si="48"/>
        <v>0</v>
      </c>
      <c r="U584" t="str">
        <f t="shared" si="49"/>
        <v>OK</v>
      </c>
    </row>
    <row r="585" spans="1:21">
      <c r="A585" t="s">
        <v>597</v>
      </c>
      <c r="B585" t="s">
        <v>4720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4961</v>
      </c>
      <c r="M585" t="s">
        <v>4278</v>
      </c>
      <c r="N585">
        <v>463.11</v>
      </c>
      <c r="O585" t="str">
        <f>IF((Sheet1[[#This Row],[Quantity]]*Sheet1[[#This Row],[UnitPrice]])=(Sheet1[[#This Row],[TotalPrice]]), "True", "False")</f>
        <v>True</v>
      </c>
      <c r="P585" t="str">
        <f>IF((Sheet1[[#This Row],[ItemsInCart]]&gt;=Sheet1[[#This Row],[Quantity]]), "Good", "Bad")</f>
        <v>Good</v>
      </c>
      <c r="Q585" t="str">
        <f t="shared" si="45"/>
        <v>OK</v>
      </c>
      <c r="R585" t="str">
        <f t="shared" si="46"/>
        <v>GOOD</v>
      </c>
      <c r="S585">
        <f t="shared" si="47"/>
        <v>0</v>
      </c>
      <c r="T585">
        <f t="shared" si="48"/>
        <v>0</v>
      </c>
      <c r="U585" t="str">
        <f t="shared" si="49"/>
        <v>OK</v>
      </c>
    </row>
    <row r="586" spans="1:21">
      <c r="A586" t="s">
        <v>598</v>
      </c>
      <c r="B586" t="s">
        <v>4721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 t="str">
        <f>IF((Sheet1[[#This Row],[Quantity]]*Sheet1[[#This Row],[UnitPrice]])=(Sheet1[[#This Row],[TotalPrice]]), "True", "False")</f>
        <v>True</v>
      </c>
      <c r="P586" t="str">
        <f>IF((Sheet1[[#This Row],[ItemsInCart]]&gt;=Sheet1[[#This Row],[Quantity]]), "Good", "Bad")</f>
        <v>Good</v>
      </c>
      <c r="Q586" t="str">
        <f t="shared" si="45"/>
        <v>OK</v>
      </c>
      <c r="R586" t="str">
        <f t="shared" si="46"/>
        <v>GOOD</v>
      </c>
      <c r="S586">
        <f t="shared" si="47"/>
        <v>0</v>
      </c>
      <c r="T586">
        <f t="shared" si="48"/>
        <v>0</v>
      </c>
      <c r="U586" t="str">
        <f t="shared" si="49"/>
        <v>OK</v>
      </c>
    </row>
    <row r="587" spans="1:21">
      <c r="A587" t="s">
        <v>599</v>
      </c>
      <c r="B587" t="s">
        <v>4321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 t="str">
        <f>IF((Sheet1[[#This Row],[Quantity]]*Sheet1[[#This Row],[UnitPrice]])=(Sheet1[[#This Row],[TotalPrice]]), "True", "False")</f>
        <v>True</v>
      </c>
      <c r="P587" t="str">
        <f>IF((Sheet1[[#This Row],[ItemsInCart]]&gt;=Sheet1[[#This Row],[Quantity]]), "Good", "Bad")</f>
        <v>Good</v>
      </c>
      <c r="Q587" t="str">
        <f t="shared" si="45"/>
        <v>OK</v>
      </c>
      <c r="R587" t="str">
        <f t="shared" si="46"/>
        <v>GOOD</v>
      </c>
      <c r="S587">
        <f t="shared" si="47"/>
        <v>0</v>
      </c>
      <c r="T587">
        <f t="shared" si="48"/>
        <v>0</v>
      </c>
      <c r="U587" t="str">
        <f t="shared" si="49"/>
        <v>OK</v>
      </c>
    </row>
    <row r="588" spans="1:21">
      <c r="A588" t="s">
        <v>600</v>
      </c>
      <c r="B588" t="s">
        <v>4620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 t="str">
        <f>IF((Sheet1[[#This Row],[Quantity]]*Sheet1[[#This Row],[UnitPrice]])=(Sheet1[[#This Row],[TotalPrice]]), "True", "False")</f>
        <v>True</v>
      </c>
      <c r="P588" t="str">
        <f>IF((Sheet1[[#This Row],[ItemsInCart]]&gt;=Sheet1[[#This Row],[Quantity]]), "Good", "Bad")</f>
        <v>Good</v>
      </c>
      <c r="Q588" t="str">
        <f t="shared" si="45"/>
        <v>OK</v>
      </c>
      <c r="R588" t="str">
        <f t="shared" si="46"/>
        <v>GOOD</v>
      </c>
      <c r="S588">
        <f t="shared" si="47"/>
        <v>0</v>
      </c>
      <c r="T588">
        <f t="shared" si="48"/>
        <v>0</v>
      </c>
      <c r="U588" t="str">
        <f t="shared" si="49"/>
        <v>OK</v>
      </c>
    </row>
    <row r="589" spans="1:21">
      <c r="A589" t="s">
        <v>601</v>
      </c>
      <c r="B589" t="s">
        <v>4722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 t="str">
        <f>IF((Sheet1[[#This Row],[Quantity]]*Sheet1[[#This Row],[UnitPrice]])=(Sheet1[[#This Row],[TotalPrice]]), "True", "False")</f>
        <v>True</v>
      </c>
      <c r="P589" t="str">
        <f>IF((Sheet1[[#This Row],[ItemsInCart]]&gt;=Sheet1[[#This Row],[Quantity]]), "Good", "Bad")</f>
        <v>Good</v>
      </c>
      <c r="Q589" t="str">
        <f t="shared" si="45"/>
        <v>OK</v>
      </c>
      <c r="R589" t="str">
        <f t="shared" si="46"/>
        <v>GOOD</v>
      </c>
      <c r="S589">
        <f t="shared" si="47"/>
        <v>0</v>
      </c>
      <c r="T589">
        <f t="shared" si="48"/>
        <v>0</v>
      </c>
      <c r="U589" t="str">
        <f t="shared" si="49"/>
        <v>OK</v>
      </c>
    </row>
    <row r="590" spans="1:21">
      <c r="A590" t="s">
        <v>602</v>
      </c>
      <c r="B590" t="s">
        <v>4723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4961</v>
      </c>
      <c r="M590" t="s">
        <v>4282</v>
      </c>
      <c r="N590">
        <v>2311.2800000000002</v>
      </c>
      <c r="O590" t="str">
        <f>IF((Sheet1[[#This Row],[Quantity]]*Sheet1[[#This Row],[UnitPrice]])=(Sheet1[[#This Row],[TotalPrice]]), "True", "False")</f>
        <v>True</v>
      </c>
      <c r="P590" t="str">
        <f>IF((Sheet1[[#This Row],[ItemsInCart]]&gt;=Sheet1[[#This Row],[Quantity]]), "Good", "Bad")</f>
        <v>Good</v>
      </c>
      <c r="Q590" t="str">
        <f t="shared" si="45"/>
        <v>OK</v>
      </c>
      <c r="R590" t="str">
        <f t="shared" si="46"/>
        <v>GOOD</v>
      </c>
      <c r="S590">
        <f t="shared" si="47"/>
        <v>0</v>
      </c>
      <c r="T590">
        <f t="shared" si="48"/>
        <v>0</v>
      </c>
      <c r="U590" t="str">
        <f t="shared" si="49"/>
        <v>OK</v>
      </c>
    </row>
    <row r="591" spans="1:21">
      <c r="A591" t="s">
        <v>603</v>
      </c>
      <c r="B591" t="s">
        <v>4724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 t="str">
        <f>IF((Sheet1[[#This Row],[Quantity]]*Sheet1[[#This Row],[UnitPrice]])=(Sheet1[[#This Row],[TotalPrice]]), "True", "False")</f>
        <v>True</v>
      </c>
      <c r="P591" t="str">
        <f>IF((Sheet1[[#This Row],[ItemsInCart]]&gt;=Sheet1[[#This Row],[Quantity]]), "Good", "Bad")</f>
        <v>Good</v>
      </c>
      <c r="Q591" t="str">
        <f t="shared" si="45"/>
        <v>OK</v>
      </c>
      <c r="R591" t="str">
        <f t="shared" si="46"/>
        <v>GOOD</v>
      </c>
      <c r="S591">
        <f t="shared" si="47"/>
        <v>0</v>
      </c>
      <c r="T591">
        <f t="shared" si="48"/>
        <v>0</v>
      </c>
      <c r="U591" t="str">
        <f t="shared" si="49"/>
        <v>OK</v>
      </c>
    </row>
    <row r="592" spans="1:21">
      <c r="A592" t="s">
        <v>604</v>
      </c>
      <c r="B592" t="s">
        <v>4725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4961</v>
      </c>
      <c r="M592" t="s">
        <v>4280</v>
      </c>
      <c r="N592">
        <v>922.26</v>
      </c>
      <c r="O592" t="str">
        <f>IF((Sheet1[[#This Row],[Quantity]]*Sheet1[[#This Row],[UnitPrice]])=(Sheet1[[#This Row],[TotalPrice]]), "True", "False")</f>
        <v>True</v>
      </c>
      <c r="P592" t="str">
        <f>IF((Sheet1[[#This Row],[ItemsInCart]]&gt;=Sheet1[[#This Row],[Quantity]]), "Good", "Bad")</f>
        <v>Good</v>
      </c>
      <c r="Q592" t="str">
        <f t="shared" si="45"/>
        <v>OK</v>
      </c>
      <c r="R592" t="str">
        <f t="shared" si="46"/>
        <v>GOOD</v>
      </c>
      <c r="S592">
        <f t="shared" si="47"/>
        <v>0</v>
      </c>
      <c r="T592">
        <f t="shared" si="48"/>
        <v>0</v>
      </c>
      <c r="U592" t="str">
        <f t="shared" si="49"/>
        <v>OK</v>
      </c>
    </row>
    <row r="593" spans="1:21">
      <c r="A593" t="s">
        <v>605</v>
      </c>
      <c r="B593" t="s">
        <v>4532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 t="str">
        <f>IF((Sheet1[[#This Row],[Quantity]]*Sheet1[[#This Row],[UnitPrice]])=(Sheet1[[#This Row],[TotalPrice]]), "True", "False")</f>
        <v>True</v>
      </c>
      <c r="P593" t="str">
        <f>IF((Sheet1[[#This Row],[ItemsInCart]]&gt;=Sheet1[[#This Row],[Quantity]]), "Good", "Bad")</f>
        <v>Good</v>
      </c>
      <c r="Q593" t="str">
        <f t="shared" si="45"/>
        <v>OK</v>
      </c>
      <c r="R593" t="str">
        <f t="shared" si="46"/>
        <v>GOOD</v>
      </c>
      <c r="S593">
        <f t="shared" si="47"/>
        <v>0</v>
      </c>
      <c r="T593">
        <f t="shared" si="48"/>
        <v>0</v>
      </c>
      <c r="U593" t="str">
        <f t="shared" si="49"/>
        <v>OK</v>
      </c>
    </row>
    <row r="594" spans="1:21">
      <c r="A594" t="s">
        <v>606</v>
      </c>
      <c r="B594" t="s">
        <v>4517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4961</v>
      </c>
      <c r="M594" t="s">
        <v>4282</v>
      </c>
      <c r="N594">
        <v>612.81000000000006</v>
      </c>
      <c r="O594" t="str">
        <f>IF((Sheet1[[#This Row],[Quantity]]*Sheet1[[#This Row],[UnitPrice]])=(Sheet1[[#This Row],[TotalPrice]]), "True", "False")</f>
        <v>True</v>
      </c>
      <c r="P594" t="str">
        <f>IF((Sheet1[[#This Row],[ItemsInCart]]&gt;=Sheet1[[#This Row],[Quantity]]), "Good", "Bad")</f>
        <v>Good</v>
      </c>
      <c r="Q594" t="str">
        <f t="shared" si="45"/>
        <v>OK</v>
      </c>
      <c r="R594" t="str">
        <f t="shared" si="46"/>
        <v>GOOD</v>
      </c>
      <c r="S594">
        <f t="shared" si="47"/>
        <v>0</v>
      </c>
      <c r="T594">
        <f t="shared" si="48"/>
        <v>0</v>
      </c>
      <c r="U594" t="str">
        <f t="shared" si="49"/>
        <v>OK</v>
      </c>
    </row>
    <row r="595" spans="1:21">
      <c r="A595" t="s">
        <v>607</v>
      </c>
      <c r="B595" t="s">
        <v>4726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 t="str">
        <f>IF((Sheet1[[#This Row],[Quantity]]*Sheet1[[#This Row],[UnitPrice]])=(Sheet1[[#This Row],[TotalPrice]]), "True", "False")</f>
        <v>True</v>
      </c>
      <c r="P595" t="str">
        <f>IF((Sheet1[[#This Row],[ItemsInCart]]&gt;=Sheet1[[#This Row],[Quantity]]), "Good", "Bad")</f>
        <v>Good</v>
      </c>
      <c r="Q595" t="str">
        <f t="shared" si="45"/>
        <v>OK</v>
      </c>
      <c r="R595" t="str">
        <f t="shared" si="46"/>
        <v>GOOD</v>
      </c>
      <c r="S595">
        <f t="shared" si="47"/>
        <v>0</v>
      </c>
      <c r="T595">
        <f t="shared" si="48"/>
        <v>0</v>
      </c>
      <c r="U595" t="str">
        <f t="shared" si="49"/>
        <v>OK</v>
      </c>
    </row>
    <row r="596" spans="1:21">
      <c r="A596" t="s">
        <v>608</v>
      </c>
      <c r="B596" t="s">
        <v>4727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4961</v>
      </c>
      <c r="M596" t="s">
        <v>4280</v>
      </c>
      <c r="N596">
        <v>363.2</v>
      </c>
      <c r="O596" t="str">
        <f>IF((Sheet1[[#This Row],[Quantity]]*Sheet1[[#This Row],[UnitPrice]])=(Sheet1[[#This Row],[TotalPrice]]), "True", "False")</f>
        <v>True</v>
      </c>
      <c r="P596" t="str">
        <f>IF((Sheet1[[#This Row],[ItemsInCart]]&gt;=Sheet1[[#This Row],[Quantity]]), "Good", "Bad")</f>
        <v>Good</v>
      </c>
      <c r="Q596" t="str">
        <f t="shared" si="45"/>
        <v>OK</v>
      </c>
      <c r="R596" t="str">
        <f t="shared" si="46"/>
        <v>BAD</v>
      </c>
      <c r="S596">
        <f t="shared" si="47"/>
        <v>0</v>
      </c>
      <c r="T596">
        <f t="shared" si="48"/>
        <v>1</v>
      </c>
      <c r="U596" t="str">
        <f t="shared" si="49"/>
        <v>REVIEW_RETURN</v>
      </c>
    </row>
    <row r="597" spans="1:21">
      <c r="A597" t="s">
        <v>609</v>
      </c>
      <c r="B597" t="s">
        <v>4728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 t="str">
        <f>IF((Sheet1[[#This Row],[Quantity]]*Sheet1[[#This Row],[UnitPrice]])=(Sheet1[[#This Row],[TotalPrice]]), "True", "False")</f>
        <v>True</v>
      </c>
      <c r="P597" t="str">
        <f>IF((Sheet1[[#This Row],[ItemsInCart]]&gt;=Sheet1[[#This Row],[Quantity]]), "Good", "Bad")</f>
        <v>Good</v>
      </c>
      <c r="Q597" t="str">
        <f t="shared" si="45"/>
        <v>OK</v>
      </c>
      <c r="R597" t="str">
        <f t="shared" si="46"/>
        <v>BAD</v>
      </c>
      <c r="S597">
        <f t="shared" si="47"/>
        <v>0</v>
      </c>
      <c r="T597">
        <f t="shared" si="48"/>
        <v>1</v>
      </c>
      <c r="U597" t="str">
        <f t="shared" si="49"/>
        <v>DOCUMENTED</v>
      </c>
    </row>
    <row r="598" spans="1:21">
      <c r="A598" t="s">
        <v>610</v>
      </c>
      <c r="B598" t="s">
        <v>4722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 t="str">
        <f>IF((Sheet1[[#This Row],[Quantity]]*Sheet1[[#This Row],[UnitPrice]])=(Sheet1[[#This Row],[TotalPrice]]), "True", "False")</f>
        <v>True</v>
      </c>
      <c r="P598" t="str">
        <f>IF((Sheet1[[#This Row],[ItemsInCart]]&gt;=Sheet1[[#This Row],[Quantity]]), "Good", "Bad")</f>
        <v>Good</v>
      </c>
      <c r="Q598" t="str">
        <f t="shared" si="45"/>
        <v>OK</v>
      </c>
      <c r="R598" t="str">
        <f t="shared" si="46"/>
        <v>GOOD</v>
      </c>
      <c r="S598">
        <f t="shared" si="47"/>
        <v>0</v>
      </c>
      <c r="T598">
        <f t="shared" si="48"/>
        <v>0</v>
      </c>
      <c r="U598" t="str">
        <f t="shared" si="49"/>
        <v>OK</v>
      </c>
    </row>
    <row r="599" spans="1:21">
      <c r="A599" t="s">
        <v>611</v>
      </c>
      <c r="B599" t="s">
        <v>4729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 t="str">
        <f>IF((Sheet1[[#This Row],[Quantity]]*Sheet1[[#This Row],[UnitPrice]])=(Sheet1[[#This Row],[TotalPrice]]), "True", "False")</f>
        <v>True</v>
      </c>
      <c r="P599" t="str">
        <f>IF((Sheet1[[#This Row],[ItemsInCart]]&gt;=Sheet1[[#This Row],[Quantity]]), "Good", "Bad")</f>
        <v>Good</v>
      </c>
      <c r="Q599" t="str">
        <f t="shared" si="45"/>
        <v>OK</v>
      </c>
      <c r="R599" t="str">
        <f t="shared" si="46"/>
        <v>BAD</v>
      </c>
      <c r="S599">
        <f t="shared" si="47"/>
        <v>0</v>
      </c>
      <c r="T599">
        <f t="shared" si="48"/>
        <v>1</v>
      </c>
      <c r="U599" t="str">
        <f t="shared" si="49"/>
        <v>REVIEW_RETURN</v>
      </c>
    </row>
    <row r="600" spans="1:21">
      <c r="A600" t="s">
        <v>612</v>
      </c>
      <c r="B600" t="s">
        <v>4730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4961</v>
      </c>
      <c r="M600" t="s">
        <v>4281</v>
      </c>
      <c r="N600">
        <v>2476.75</v>
      </c>
      <c r="O600" t="str">
        <f>IF((Sheet1[[#This Row],[Quantity]]*Sheet1[[#This Row],[UnitPrice]])=(Sheet1[[#This Row],[TotalPrice]]), "True", "False")</f>
        <v>True</v>
      </c>
      <c r="P600" t="str">
        <f>IF((Sheet1[[#This Row],[ItemsInCart]]&gt;=Sheet1[[#This Row],[Quantity]]), "Good", "Bad")</f>
        <v>Good</v>
      </c>
      <c r="Q600" t="str">
        <f t="shared" si="45"/>
        <v>OK</v>
      </c>
      <c r="R600" t="str">
        <f t="shared" si="46"/>
        <v>BAD</v>
      </c>
      <c r="S600">
        <f t="shared" si="47"/>
        <v>0</v>
      </c>
      <c r="T600">
        <f t="shared" si="48"/>
        <v>1</v>
      </c>
      <c r="U600" t="str">
        <f t="shared" si="49"/>
        <v>DOCUMENTED</v>
      </c>
    </row>
    <row r="601" spans="1:21">
      <c r="A601" t="s">
        <v>613</v>
      </c>
      <c r="B601" t="s">
        <v>4313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 t="str">
        <f>IF((Sheet1[[#This Row],[Quantity]]*Sheet1[[#This Row],[UnitPrice]])=(Sheet1[[#This Row],[TotalPrice]]), "True", "False")</f>
        <v>True</v>
      </c>
      <c r="P601" t="str">
        <f>IF((Sheet1[[#This Row],[ItemsInCart]]&gt;=Sheet1[[#This Row],[Quantity]]), "Good", "Bad")</f>
        <v>Good</v>
      </c>
      <c r="Q601" t="str">
        <f t="shared" si="45"/>
        <v>OK</v>
      </c>
      <c r="R601" t="str">
        <f t="shared" si="46"/>
        <v>BAD</v>
      </c>
      <c r="S601">
        <f t="shared" si="47"/>
        <v>0</v>
      </c>
      <c r="T601">
        <f t="shared" si="48"/>
        <v>1</v>
      </c>
      <c r="U601" t="str">
        <f t="shared" si="49"/>
        <v>REVIEW_RETURN</v>
      </c>
    </row>
    <row r="602" spans="1:21">
      <c r="A602" t="s">
        <v>614</v>
      </c>
      <c r="B602" t="s">
        <v>4351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 t="str">
        <f>IF((Sheet1[[#This Row],[Quantity]]*Sheet1[[#This Row],[UnitPrice]])=(Sheet1[[#This Row],[TotalPrice]]), "True", "False")</f>
        <v>True</v>
      </c>
      <c r="P602" t="str">
        <f>IF((Sheet1[[#This Row],[ItemsInCart]]&gt;=Sheet1[[#This Row],[Quantity]]), "Good", "Bad")</f>
        <v>Good</v>
      </c>
      <c r="Q602" t="str">
        <f t="shared" si="45"/>
        <v>OK</v>
      </c>
      <c r="R602" t="str">
        <f t="shared" si="46"/>
        <v>BAD</v>
      </c>
      <c r="S602">
        <f t="shared" si="47"/>
        <v>0</v>
      </c>
      <c r="T602">
        <f t="shared" si="48"/>
        <v>1</v>
      </c>
      <c r="U602" t="str">
        <f t="shared" si="49"/>
        <v>REVIEW_RETURN</v>
      </c>
    </row>
    <row r="603" spans="1:21">
      <c r="A603" t="s">
        <v>615</v>
      </c>
      <c r="B603" t="s">
        <v>4559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4961</v>
      </c>
      <c r="M603" t="s">
        <v>4279</v>
      </c>
      <c r="N603">
        <v>124.1</v>
      </c>
      <c r="O603" t="str">
        <f>IF((Sheet1[[#This Row],[Quantity]]*Sheet1[[#This Row],[UnitPrice]])=(Sheet1[[#This Row],[TotalPrice]]), "True", "False")</f>
        <v>True</v>
      </c>
      <c r="P603" t="str">
        <f>IF((Sheet1[[#This Row],[ItemsInCart]]&gt;=Sheet1[[#This Row],[Quantity]]), "Good", "Bad")</f>
        <v>Good</v>
      </c>
      <c r="Q603" t="str">
        <f t="shared" si="45"/>
        <v>OK</v>
      </c>
      <c r="R603" t="str">
        <f t="shared" si="46"/>
        <v>GOOD</v>
      </c>
      <c r="S603">
        <f t="shared" si="47"/>
        <v>0</v>
      </c>
      <c r="T603">
        <f t="shared" si="48"/>
        <v>0</v>
      </c>
      <c r="U603" t="str">
        <f t="shared" si="49"/>
        <v>OK</v>
      </c>
    </row>
    <row r="604" spans="1:21">
      <c r="A604" t="s">
        <v>616</v>
      </c>
      <c r="B604" t="s">
        <v>4731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 t="str">
        <f>IF((Sheet1[[#This Row],[Quantity]]*Sheet1[[#This Row],[UnitPrice]])=(Sheet1[[#This Row],[TotalPrice]]), "True", "False")</f>
        <v>True</v>
      </c>
      <c r="P604" t="str">
        <f>IF((Sheet1[[#This Row],[ItemsInCart]]&gt;=Sheet1[[#This Row],[Quantity]]), "Good", "Bad")</f>
        <v>Good</v>
      </c>
      <c r="Q604" t="str">
        <f t="shared" si="45"/>
        <v>OK</v>
      </c>
      <c r="R604" t="str">
        <f t="shared" si="46"/>
        <v>BAD</v>
      </c>
      <c r="S604">
        <f t="shared" si="47"/>
        <v>0</v>
      </c>
      <c r="T604">
        <f t="shared" si="48"/>
        <v>1</v>
      </c>
      <c r="U604" t="str">
        <f t="shared" si="49"/>
        <v>DOCUMENTED</v>
      </c>
    </row>
    <row r="605" spans="1:21">
      <c r="A605" t="s">
        <v>617</v>
      </c>
      <c r="B605" t="s">
        <v>4732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 t="str">
        <f>IF((Sheet1[[#This Row],[Quantity]]*Sheet1[[#This Row],[UnitPrice]])=(Sheet1[[#This Row],[TotalPrice]]), "True", "False")</f>
        <v>True</v>
      </c>
      <c r="P605" t="str">
        <f>IF((Sheet1[[#This Row],[ItemsInCart]]&gt;=Sheet1[[#This Row],[Quantity]]), "Good", "Bad")</f>
        <v>Good</v>
      </c>
      <c r="Q605" t="str">
        <f t="shared" si="45"/>
        <v>OK</v>
      </c>
      <c r="R605" t="str">
        <f t="shared" si="46"/>
        <v>BAD</v>
      </c>
      <c r="S605">
        <f t="shared" si="47"/>
        <v>0</v>
      </c>
      <c r="T605">
        <f t="shared" si="48"/>
        <v>1</v>
      </c>
      <c r="U605" t="str">
        <f t="shared" si="49"/>
        <v>DOCUMENTED</v>
      </c>
    </row>
    <row r="606" spans="1:21">
      <c r="A606" t="s">
        <v>618</v>
      </c>
      <c r="B606" t="s">
        <v>4733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4961</v>
      </c>
      <c r="M606" t="s">
        <v>4281</v>
      </c>
      <c r="N606">
        <v>97.859999999999985</v>
      </c>
      <c r="O606" t="str">
        <f>IF((Sheet1[[#This Row],[Quantity]]*Sheet1[[#This Row],[UnitPrice]])=(Sheet1[[#This Row],[TotalPrice]]), "True", "False")</f>
        <v>True</v>
      </c>
      <c r="P606" t="str">
        <f>IF((Sheet1[[#This Row],[ItemsInCart]]&gt;=Sheet1[[#This Row],[Quantity]]), "Good", "Bad")</f>
        <v>Good</v>
      </c>
      <c r="Q606" t="str">
        <f t="shared" si="45"/>
        <v>OK</v>
      </c>
      <c r="R606" t="str">
        <f t="shared" si="46"/>
        <v>GOOD</v>
      </c>
      <c r="S606">
        <f t="shared" si="47"/>
        <v>0</v>
      </c>
      <c r="T606">
        <f t="shared" si="48"/>
        <v>0</v>
      </c>
      <c r="U606" t="str">
        <f t="shared" si="49"/>
        <v>OK</v>
      </c>
    </row>
    <row r="607" spans="1:21">
      <c r="A607" t="s">
        <v>619</v>
      </c>
      <c r="B607" t="s">
        <v>4734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 t="str">
        <f>IF((Sheet1[[#This Row],[Quantity]]*Sheet1[[#This Row],[UnitPrice]])=(Sheet1[[#This Row],[TotalPrice]]), "True", "False")</f>
        <v>True</v>
      </c>
      <c r="P607" t="str">
        <f>IF((Sheet1[[#This Row],[ItemsInCart]]&gt;=Sheet1[[#This Row],[Quantity]]), "Good", "Bad")</f>
        <v>Good</v>
      </c>
      <c r="Q607" t="str">
        <f t="shared" si="45"/>
        <v>OK</v>
      </c>
      <c r="R607" t="str">
        <f t="shared" si="46"/>
        <v>GOOD</v>
      </c>
      <c r="S607">
        <f t="shared" si="47"/>
        <v>0</v>
      </c>
      <c r="T607">
        <f t="shared" si="48"/>
        <v>0</v>
      </c>
      <c r="U607" t="str">
        <f t="shared" si="49"/>
        <v>OK</v>
      </c>
    </row>
    <row r="608" spans="1:21">
      <c r="A608" t="s">
        <v>620</v>
      </c>
      <c r="B608" t="s">
        <v>4402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 t="str">
        <f>IF((Sheet1[[#This Row],[Quantity]]*Sheet1[[#This Row],[UnitPrice]])=(Sheet1[[#This Row],[TotalPrice]]), "True", "False")</f>
        <v>True</v>
      </c>
      <c r="P608" t="str">
        <f>IF((Sheet1[[#This Row],[ItemsInCart]]&gt;=Sheet1[[#This Row],[Quantity]]), "Good", "Bad")</f>
        <v>Good</v>
      </c>
      <c r="Q608" t="str">
        <f t="shared" si="45"/>
        <v>OK</v>
      </c>
      <c r="R608" t="str">
        <f t="shared" si="46"/>
        <v>BAD</v>
      </c>
      <c r="S608">
        <f t="shared" si="47"/>
        <v>0</v>
      </c>
      <c r="T608">
        <f t="shared" si="48"/>
        <v>1</v>
      </c>
      <c r="U608" t="str">
        <f t="shared" si="49"/>
        <v>REVIEW_RETURN</v>
      </c>
    </row>
    <row r="609" spans="1:21">
      <c r="A609" t="s">
        <v>621</v>
      </c>
      <c r="B609" t="s">
        <v>4416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 t="str">
        <f>IF((Sheet1[[#This Row],[Quantity]]*Sheet1[[#This Row],[UnitPrice]])=(Sheet1[[#This Row],[TotalPrice]]), "True", "False")</f>
        <v>True</v>
      </c>
      <c r="P609" t="str">
        <f>IF((Sheet1[[#This Row],[ItemsInCart]]&gt;=Sheet1[[#This Row],[Quantity]]), "Good", "Bad")</f>
        <v>Good</v>
      </c>
      <c r="Q609" t="str">
        <f t="shared" si="45"/>
        <v>OK</v>
      </c>
      <c r="R609" t="str">
        <f t="shared" si="46"/>
        <v>GOOD</v>
      </c>
      <c r="S609">
        <f t="shared" si="47"/>
        <v>0</v>
      </c>
      <c r="T609">
        <f t="shared" si="48"/>
        <v>0</v>
      </c>
      <c r="U609" t="str">
        <f t="shared" si="49"/>
        <v>OK</v>
      </c>
    </row>
    <row r="610" spans="1:21">
      <c r="A610" t="s">
        <v>622</v>
      </c>
      <c r="B610" t="s">
        <v>4308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 t="str">
        <f>IF((Sheet1[[#This Row],[Quantity]]*Sheet1[[#This Row],[UnitPrice]])=(Sheet1[[#This Row],[TotalPrice]]), "True", "False")</f>
        <v>True</v>
      </c>
      <c r="P610" t="str">
        <f>IF((Sheet1[[#This Row],[ItemsInCart]]&gt;=Sheet1[[#This Row],[Quantity]]), "Good", "Bad")</f>
        <v>Good</v>
      </c>
      <c r="Q610" t="str">
        <f t="shared" si="45"/>
        <v>OK</v>
      </c>
      <c r="R610" t="str">
        <f t="shared" si="46"/>
        <v>BAD</v>
      </c>
      <c r="S610">
        <f t="shared" si="47"/>
        <v>0</v>
      </c>
      <c r="T610">
        <f t="shared" si="48"/>
        <v>1</v>
      </c>
      <c r="U610" t="str">
        <f t="shared" si="49"/>
        <v>REVIEW_RETURN</v>
      </c>
    </row>
    <row r="611" spans="1:21">
      <c r="A611" t="s">
        <v>623</v>
      </c>
      <c r="B611" t="s">
        <v>4392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 t="str">
        <f>IF((Sheet1[[#This Row],[Quantity]]*Sheet1[[#This Row],[UnitPrice]])=(Sheet1[[#This Row],[TotalPrice]]), "True", "False")</f>
        <v>True</v>
      </c>
      <c r="P611" t="str">
        <f>IF((Sheet1[[#This Row],[ItemsInCart]]&gt;=Sheet1[[#This Row],[Quantity]]), "Good", "Bad")</f>
        <v>Good</v>
      </c>
      <c r="Q611" t="str">
        <f t="shared" si="45"/>
        <v>OK</v>
      </c>
      <c r="R611" t="str">
        <f t="shared" si="46"/>
        <v>GOOD</v>
      </c>
      <c r="S611">
        <f t="shared" si="47"/>
        <v>0</v>
      </c>
      <c r="T611">
        <f t="shared" si="48"/>
        <v>0</v>
      </c>
      <c r="U611" t="str">
        <f t="shared" si="49"/>
        <v>OK</v>
      </c>
    </row>
    <row r="612" spans="1:21">
      <c r="A612" t="s">
        <v>624</v>
      </c>
      <c r="B612" t="s">
        <v>4735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 t="str">
        <f>IF((Sheet1[[#This Row],[Quantity]]*Sheet1[[#This Row],[UnitPrice]])=(Sheet1[[#This Row],[TotalPrice]]), "True", "False")</f>
        <v>True</v>
      </c>
      <c r="P612" t="str">
        <f>IF((Sheet1[[#This Row],[ItemsInCart]]&gt;=Sheet1[[#This Row],[Quantity]]), "Good", "Bad")</f>
        <v>Good</v>
      </c>
      <c r="Q612" t="str">
        <f t="shared" si="45"/>
        <v>OK</v>
      </c>
      <c r="R612" t="str">
        <f t="shared" si="46"/>
        <v>GOOD</v>
      </c>
      <c r="S612">
        <f t="shared" si="47"/>
        <v>0</v>
      </c>
      <c r="T612">
        <f t="shared" si="48"/>
        <v>0</v>
      </c>
      <c r="U612" t="str">
        <f t="shared" si="49"/>
        <v>OK</v>
      </c>
    </row>
    <row r="613" spans="1:21">
      <c r="A613" t="s">
        <v>625</v>
      </c>
      <c r="B613" t="s">
        <v>4736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 t="str">
        <f>IF((Sheet1[[#This Row],[Quantity]]*Sheet1[[#This Row],[UnitPrice]])=(Sheet1[[#This Row],[TotalPrice]]), "True", "False")</f>
        <v>True</v>
      </c>
      <c r="P613" t="str">
        <f>IF((Sheet1[[#This Row],[ItemsInCart]]&gt;=Sheet1[[#This Row],[Quantity]]), "Good", "Bad")</f>
        <v>Good</v>
      </c>
      <c r="Q613" t="str">
        <f t="shared" si="45"/>
        <v>OK</v>
      </c>
      <c r="R613" t="str">
        <f t="shared" si="46"/>
        <v>GOOD</v>
      </c>
      <c r="S613">
        <f t="shared" si="47"/>
        <v>0</v>
      </c>
      <c r="T613">
        <f t="shared" si="48"/>
        <v>0</v>
      </c>
      <c r="U613" t="str">
        <f t="shared" si="49"/>
        <v>OK</v>
      </c>
    </row>
    <row r="614" spans="1:21">
      <c r="A614" t="s">
        <v>626</v>
      </c>
      <c r="B614" t="s">
        <v>4737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4961</v>
      </c>
      <c r="M614" t="s">
        <v>4282</v>
      </c>
      <c r="N614">
        <v>1335.36</v>
      </c>
      <c r="O614" t="str">
        <f>IF((Sheet1[[#This Row],[Quantity]]*Sheet1[[#This Row],[UnitPrice]])=(Sheet1[[#This Row],[TotalPrice]]), "True", "False")</f>
        <v>True</v>
      </c>
      <c r="P614" t="str">
        <f>IF((Sheet1[[#This Row],[ItemsInCart]]&gt;=Sheet1[[#This Row],[Quantity]]), "Good", "Bad")</f>
        <v>Good</v>
      </c>
      <c r="Q614" t="str">
        <f t="shared" si="45"/>
        <v>OK</v>
      </c>
      <c r="R614" t="str">
        <f t="shared" si="46"/>
        <v>BAD</v>
      </c>
      <c r="S614">
        <f t="shared" si="47"/>
        <v>0</v>
      </c>
      <c r="T614">
        <f t="shared" si="48"/>
        <v>1</v>
      </c>
      <c r="U614" t="str">
        <f t="shared" si="49"/>
        <v>REVIEW_RETURN</v>
      </c>
    </row>
    <row r="615" spans="1:21">
      <c r="A615" t="s">
        <v>627</v>
      </c>
      <c r="B615" t="s">
        <v>4319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 t="str">
        <f>IF((Sheet1[[#This Row],[Quantity]]*Sheet1[[#This Row],[UnitPrice]])=(Sheet1[[#This Row],[TotalPrice]]), "True", "False")</f>
        <v>True</v>
      </c>
      <c r="P615" t="str">
        <f>IF((Sheet1[[#This Row],[ItemsInCart]]&gt;=Sheet1[[#This Row],[Quantity]]), "Good", "Bad")</f>
        <v>Good</v>
      </c>
      <c r="Q615" t="str">
        <f t="shared" si="45"/>
        <v>OK</v>
      </c>
      <c r="R615" t="str">
        <f t="shared" si="46"/>
        <v>GOOD</v>
      </c>
      <c r="S615">
        <f t="shared" si="47"/>
        <v>0</v>
      </c>
      <c r="T615">
        <f t="shared" si="48"/>
        <v>0</v>
      </c>
      <c r="U615" t="str">
        <f t="shared" si="49"/>
        <v>OK</v>
      </c>
    </row>
    <row r="616" spans="1:21">
      <c r="A616" t="s">
        <v>628</v>
      </c>
      <c r="B616" t="s">
        <v>4738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4961</v>
      </c>
      <c r="M616" t="s">
        <v>4279</v>
      </c>
      <c r="N616">
        <v>96.81</v>
      </c>
      <c r="O616" t="str">
        <f>IF((Sheet1[[#This Row],[Quantity]]*Sheet1[[#This Row],[UnitPrice]])=(Sheet1[[#This Row],[TotalPrice]]), "True", "False")</f>
        <v>True</v>
      </c>
      <c r="P616" t="str">
        <f>IF((Sheet1[[#This Row],[ItemsInCart]]&gt;=Sheet1[[#This Row],[Quantity]]), "Good", "Bad")</f>
        <v>Good</v>
      </c>
      <c r="Q616" t="str">
        <f t="shared" si="45"/>
        <v>OK</v>
      </c>
      <c r="R616" t="str">
        <f t="shared" si="46"/>
        <v>BAD</v>
      </c>
      <c r="S616">
        <f t="shared" si="47"/>
        <v>0</v>
      </c>
      <c r="T616">
        <f t="shared" si="48"/>
        <v>1</v>
      </c>
      <c r="U616" t="str">
        <f t="shared" si="49"/>
        <v>REVIEW_RETURN</v>
      </c>
    </row>
    <row r="617" spans="1:21">
      <c r="A617" t="s">
        <v>629</v>
      </c>
      <c r="B617" t="s">
        <v>4739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 t="str">
        <f>IF((Sheet1[[#This Row],[Quantity]]*Sheet1[[#This Row],[UnitPrice]])=(Sheet1[[#This Row],[TotalPrice]]), "True", "False")</f>
        <v>True</v>
      </c>
      <c r="P617" t="str">
        <f>IF((Sheet1[[#This Row],[ItemsInCart]]&gt;=Sheet1[[#This Row],[Quantity]]), "Good", "Bad")</f>
        <v>Good</v>
      </c>
      <c r="Q617" t="str">
        <f t="shared" si="45"/>
        <v>OK</v>
      </c>
      <c r="R617" t="str">
        <f t="shared" si="46"/>
        <v>GOOD</v>
      </c>
      <c r="S617">
        <f t="shared" si="47"/>
        <v>0</v>
      </c>
      <c r="T617">
        <f t="shared" si="48"/>
        <v>0</v>
      </c>
      <c r="U617" t="str">
        <f t="shared" si="49"/>
        <v>OK</v>
      </c>
    </row>
    <row r="618" spans="1:21">
      <c r="A618" t="s">
        <v>630</v>
      </c>
      <c r="B618" t="s">
        <v>4740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 t="str">
        <f>IF((Sheet1[[#This Row],[Quantity]]*Sheet1[[#This Row],[UnitPrice]])=(Sheet1[[#This Row],[TotalPrice]]), "True", "False")</f>
        <v>True</v>
      </c>
      <c r="P618" t="str">
        <f>IF((Sheet1[[#This Row],[ItemsInCart]]&gt;=Sheet1[[#This Row],[Quantity]]), "Good", "Bad")</f>
        <v>Good</v>
      </c>
      <c r="Q618" t="str">
        <f t="shared" si="45"/>
        <v>OK</v>
      </c>
      <c r="R618" t="str">
        <f t="shared" si="46"/>
        <v>BAD</v>
      </c>
      <c r="S618">
        <f t="shared" si="47"/>
        <v>0</v>
      </c>
      <c r="T618">
        <f t="shared" si="48"/>
        <v>1</v>
      </c>
      <c r="U618" t="str">
        <f t="shared" si="49"/>
        <v>REVIEW_RETURN</v>
      </c>
    </row>
    <row r="619" spans="1:21">
      <c r="A619" t="s">
        <v>631</v>
      </c>
      <c r="B619" t="s">
        <v>4741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4961</v>
      </c>
      <c r="M619" t="s">
        <v>4279</v>
      </c>
      <c r="N619">
        <v>553.41</v>
      </c>
      <c r="O619" t="str">
        <f>IF((Sheet1[[#This Row],[Quantity]]*Sheet1[[#This Row],[UnitPrice]])=(Sheet1[[#This Row],[TotalPrice]]), "True", "False")</f>
        <v>True</v>
      </c>
      <c r="P619" t="str">
        <f>IF((Sheet1[[#This Row],[ItemsInCart]]&gt;=Sheet1[[#This Row],[Quantity]]), "Good", "Bad")</f>
        <v>Good</v>
      </c>
      <c r="Q619" t="str">
        <f t="shared" si="45"/>
        <v>OK</v>
      </c>
      <c r="R619" t="str">
        <f t="shared" si="46"/>
        <v>BAD</v>
      </c>
      <c r="S619">
        <f t="shared" si="47"/>
        <v>0</v>
      </c>
      <c r="T619">
        <f t="shared" si="48"/>
        <v>1</v>
      </c>
      <c r="U619" t="str">
        <f t="shared" si="49"/>
        <v>REVIEW_RETURN</v>
      </c>
    </row>
    <row r="620" spans="1:21">
      <c r="A620" t="s">
        <v>632</v>
      </c>
      <c r="B620" t="s">
        <v>4742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4961</v>
      </c>
      <c r="M620" t="s">
        <v>4278</v>
      </c>
      <c r="N620">
        <v>411.34</v>
      </c>
      <c r="O620" t="str">
        <f>IF((Sheet1[[#This Row],[Quantity]]*Sheet1[[#This Row],[UnitPrice]])=(Sheet1[[#This Row],[TotalPrice]]), "True", "False")</f>
        <v>True</v>
      </c>
      <c r="P620" t="str">
        <f>IF((Sheet1[[#This Row],[ItemsInCart]]&gt;=Sheet1[[#This Row],[Quantity]]), "Good", "Bad")</f>
        <v>Good</v>
      </c>
      <c r="Q620" t="str">
        <f t="shared" si="45"/>
        <v>OK</v>
      </c>
      <c r="R620" t="str">
        <f t="shared" si="46"/>
        <v>GOOD</v>
      </c>
      <c r="S620">
        <f t="shared" si="47"/>
        <v>0</v>
      </c>
      <c r="T620">
        <f t="shared" si="48"/>
        <v>0</v>
      </c>
      <c r="U620" t="str">
        <f t="shared" si="49"/>
        <v>OK</v>
      </c>
    </row>
    <row r="621" spans="1:21">
      <c r="A621" t="s">
        <v>633</v>
      </c>
      <c r="B621" t="s">
        <v>4707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4961</v>
      </c>
      <c r="M621" t="s">
        <v>4279</v>
      </c>
      <c r="N621">
        <v>532.89</v>
      </c>
      <c r="O621" t="str">
        <f>IF((Sheet1[[#This Row],[Quantity]]*Sheet1[[#This Row],[UnitPrice]])=(Sheet1[[#This Row],[TotalPrice]]), "True", "False")</f>
        <v>True</v>
      </c>
      <c r="P621" t="str">
        <f>IF((Sheet1[[#This Row],[ItemsInCart]]&gt;=Sheet1[[#This Row],[Quantity]]), "Good", "Bad")</f>
        <v>Good</v>
      </c>
      <c r="Q621" t="str">
        <f t="shared" si="45"/>
        <v>OK</v>
      </c>
      <c r="R621" t="str">
        <f t="shared" si="46"/>
        <v>BAD</v>
      </c>
      <c r="S621">
        <f t="shared" si="47"/>
        <v>0</v>
      </c>
      <c r="T621">
        <f t="shared" si="48"/>
        <v>1</v>
      </c>
      <c r="U621" t="str">
        <f t="shared" si="49"/>
        <v>DOCUMENTED</v>
      </c>
    </row>
    <row r="622" spans="1:21">
      <c r="A622" t="s">
        <v>634</v>
      </c>
      <c r="B622" t="s">
        <v>4743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 t="str">
        <f>IF((Sheet1[[#This Row],[Quantity]]*Sheet1[[#This Row],[UnitPrice]])=(Sheet1[[#This Row],[TotalPrice]]), "True", "False")</f>
        <v>True</v>
      </c>
      <c r="P622" t="str">
        <f>IF((Sheet1[[#This Row],[ItemsInCart]]&gt;=Sheet1[[#This Row],[Quantity]]), "Good", "Bad")</f>
        <v>Good</v>
      </c>
      <c r="Q622" t="str">
        <f t="shared" si="45"/>
        <v>OK</v>
      </c>
      <c r="R622" t="str">
        <f t="shared" si="46"/>
        <v>GOOD</v>
      </c>
      <c r="S622">
        <f t="shared" si="47"/>
        <v>0</v>
      </c>
      <c r="T622">
        <f t="shared" si="48"/>
        <v>0</v>
      </c>
      <c r="U622" t="str">
        <f t="shared" si="49"/>
        <v>OK</v>
      </c>
    </row>
    <row r="623" spans="1:21">
      <c r="A623" t="s">
        <v>635</v>
      </c>
      <c r="B623" t="s">
        <v>4639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 t="str">
        <f>IF((Sheet1[[#This Row],[Quantity]]*Sheet1[[#This Row],[UnitPrice]])=(Sheet1[[#This Row],[TotalPrice]]), "True", "False")</f>
        <v>True</v>
      </c>
      <c r="P623" t="str">
        <f>IF((Sheet1[[#This Row],[ItemsInCart]]&gt;=Sheet1[[#This Row],[Quantity]]), "Good", "Bad")</f>
        <v>Good</v>
      </c>
      <c r="Q623" t="str">
        <f t="shared" si="45"/>
        <v>OK</v>
      </c>
      <c r="R623" t="str">
        <f t="shared" si="46"/>
        <v>GOOD</v>
      </c>
      <c r="S623">
        <f t="shared" si="47"/>
        <v>0</v>
      </c>
      <c r="T623">
        <f t="shared" si="48"/>
        <v>0</v>
      </c>
      <c r="U623" t="str">
        <f t="shared" si="49"/>
        <v>OK</v>
      </c>
    </row>
    <row r="624" spans="1:21">
      <c r="A624" t="s">
        <v>636</v>
      </c>
      <c r="B624" t="s">
        <v>4744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4961</v>
      </c>
      <c r="M624" t="s">
        <v>4281</v>
      </c>
      <c r="N624">
        <v>1181.9000000000001</v>
      </c>
      <c r="O624" t="str">
        <f>IF((Sheet1[[#This Row],[Quantity]]*Sheet1[[#This Row],[UnitPrice]])=(Sheet1[[#This Row],[TotalPrice]]), "True", "False")</f>
        <v>True</v>
      </c>
      <c r="P624" t="str">
        <f>IF((Sheet1[[#This Row],[ItemsInCart]]&gt;=Sheet1[[#This Row],[Quantity]]), "Good", "Bad")</f>
        <v>Good</v>
      </c>
      <c r="Q624" t="str">
        <f t="shared" si="45"/>
        <v>OK</v>
      </c>
      <c r="R624" t="str">
        <f t="shared" si="46"/>
        <v>GOOD</v>
      </c>
      <c r="S624">
        <f t="shared" si="47"/>
        <v>0</v>
      </c>
      <c r="T624">
        <f t="shared" si="48"/>
        <v>0</v>
      </c>
      <c r="U624" t="str">
        <f t="shared" si="49"/>
        <v>OK</v>
      </c>
    </row>
    <row r="625" spans="1:21">
      <c r="A625" t="s">
        <v>637</v>
      </c>
      <c r="B625" t="s">
        <v>4662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 t="str">
        <f>IF((Sheet1[[#This Row],[Quantity]]*Sheet1[[#This Row],[UnitPrice]])=(Sheet1[[#This Row],[TotalPrice]]), "True", "False")</f>
        <v>True</v>
      </c>
      <c r="P625" t="str">
        <f>IF((Sheet1[[#This Row],[ItemsInCart]]&gt;=Sheet1[[#This Row],[Quantity]]), "Good", "Bad")</f>
        <v>Good</v>
      </c>
      <c r="Q625" t="str">
        <f t="shared" si="45"/>
        <v>OK</v>
      </c>
      <c r="R625" t="str">
        <f t="shared" si="46"/>
        <v>BAD</v>
      </c>
      <c r="S625">
        <f t="shared" si="47"/>
        <v>0</v>
      </c>
      <c r="T625">
        <f t="shared" si="48"/>
        <v>1</v>
      </c>
      <c r="U625" t="str">
        <f t="shared" si="49"/>
        <v>REVIEW_RETURN</v>
      </c>
    </row>
    <row r="626" spans="1:21">
      <c r="A626" t="s">
        <v>638</v>
      </c>
      <c r="B626" t="s">
        <v>4745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4961</v>
      </c>
      <c r="M626" t="s">
        <v>4280</v>
      </c>
      <c r="N626">
        <v>1709.8</v>
      </c>
      <c r="O626" t="str">
        <f>IF((Sheet1[[#This Row],[Quantity]]*Sheet1[[#This Row],[UnitPrice]])=(Sheet1[[#This Row],[TotalPrice]]), "True", "False")</f>
        <v>True</v>
      </c>
      <c r="P626" t="str">
        <f>IF((Sheet1[[#This Row],[ItemsInCart]]&gt;=Sheet1[[#This Row],[Quantity]]), "Good", "Bad")</f>
        <v>Good</v>
      </c>
      <c r="Q626" t="str">
        <f t="shared" si="45"/>
        <v>OK</v>
      </c>
      <c r="R626" t="str">
        <f t="shared" si="46"/>
        <v>GOOD</v>
      </c>
      <c r="S626">
        <f t="shared" si="47"/>
        <v>0</v>
      </c>
      <c r="T626">
        <f t="shared" si="48"/>
        <v>0</v>
      </c>
      <c r="U626" t="str">
        <f t="shared" si="49"/>
        <v>OK</v>
      </c>
    </row>
    <row r="627" spans="1:21">
      <c r="A627" t="s">
        <v>639</v>
      </c>
      <c r="B627" t="s">
        <v>4746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 t="str">
        <f>IF((Sheet1[[#This Row],[Quantity]]*Sheet1[[#This Row],[UnitPrice]])=(Sheet1[[#This Row],[TotalPrice]]), "True", "False")</f>
        <v>True</v>
      </c>
      <c r="P627" t="str">
        <f>IF((Sheet1[[#This Row],[ItemsInCart]]&gt;=Sheet1[[#This Row],[Quantity]]), "Good", "Bad")</f>
        <v>Good</v>
      </c>
      <c r="Q627" t="str">
        <f t="shared" si="45"/>
        <v>OK</v>
      </c>
      <c r="R627" t="str">
        <f t="shared" si="46"/>
        <v>BAD</v>
      </c>
      <c r="S627">
        <f t="shared" si="47"/>
        <v>0</v>
      </c>
      <c r="T627">
        <f t="shared" si="48"/>
        <v>1</v>
      </c>
      <c r="U627" t="str">
        <f t="shared" si="49"/>
        <v>DOCUMENTED</v>
      </c>
    </row>
    <row r="628" spans="1:21">
      <c r="A628" t="s">
        <v>640</v>
      </c>
      <c r="B628" t="s">
        <v>4700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 t="str">
        <f>IF((Sheet1[[#This Row],[Quantity]]*Sheet1[[#This Row],[UnitPrice]])=(Sheet1[[#This Row],[TotalPrice]]), "True", "False")</f>
        <v>True</v>
      </c>
      <c r="P628" t="str">
        <f>IF((Sheet1[[#This Row],[ItemsInCart]]&gt;=Sheet1[[#This Row],[Quantity]]), "Good", "Bad")</f>
        <v>Good</v>
      </c>
      <c r="Q628" t="str">
        <f t="shared" si="45"/>
        <v>OK</v>
      </c>
      <c r="R628" t="str">
        <f t="shared" si="46"/>
        <v>GOOD</v>
      </c>
      <c r="S628">
        <f t="shared" si="47"/>
        <v>0</v>
      </c>
      <c r="T628">
        <f t="shared" si="48"/>
        <v>0</v>
      </c>
      <c r="U628" t="str">
        <f t="shared" si="49"/>
        <v>OK</v>
      </c>
    </row>
    <row r="629" spans="1:21">
      <c r="A629" t="s">
        <v>641</v>
      </c>
      <c r="B629" t="s">
        <v>4747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 t="str">
        <f>IF((Sheet1[[#This Row],[Quantity]]*Sheet1[[#This Row],[UnitPrice]])=(Sheet1[[#This Row],[TotalPrice]]), "True", "False")</f>
        <v>True</v>
      </c>
      <c r="P629" t="str">
        <f>IF((Sheet1[[#This Row],[ItemsInCart]]&gt;=Sheet1[[#This Row],[Quantity]]), "Good", "Bad")</f>
        <v>Good</v>
      </c>
      <c r="Q629" t="str">
        <f t="shared" si="45"/>
        <v>OK</v>
      </c>
      <c r="R629" t="str">
        <f t="shared" si="46"/>
        <v>GOOD</v>
      </c>
      <c r="S629">
        <f t="shared" si="47"/>
        <v>0</v>
      </c>
      <c r="T629">
        <f t="shared" si="48"/>
        <v>0</v>
      </c>
      <c r="U629" t="str">
        <f t="shared" si="49"/>
        <v>OK</v>
      </c>
    </row>
    <row r="630" spans="1:21">
      <c r="A630" t="s">
        <v>642</v>
      </c>
      <c r="B630" t="s">
        <v>4748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 t="str">
        <f>IF((Sheet1[[#This Row],[Quantity]]*Sheet1[[#This Row],[UnitPrice]])=(Sheet1[[#This Row],[TotalPrice]]), "True", "False")</f>
        <v>True</v>
      </c>
      <c r="P630" t="str">
        <f>IF((Sheet1[[#This Row],[ItemsInCart]]&gt;=Sheet1[[#This Row],[Quantity]]), "Good", "Bad")</f>
        <v>Good</v>
      </c>
      <c r="Q630" t="str">
        <f t="shared" si="45"/>
        <v>OK</v>
      </c>
      <c r="R630" t="str">
        <f t="shared" si="46"/>
        <v>BAD</v>
      </c>
      <c r="S630">
        <f t="shared" si="47"/>
        <v>0</v>
      </c>
      <c r="T630">
        <f t="shared" si="48"/>
        <v>1</v>
      </c>
      <c r="U630" t="str">
        <f t="shared" si="49"/>
        <v>DOCUMENTED</v>
      </c>
    </row>
    <row r="631" spans="1:21">
      <c r="A631" t="s">
        <v>643</v>
      </c>
      <c r="B631" t="s">
        <v>4749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4961</v>
      </c>
      <c r="M631" t="s">
        <v>4279</v>
      </c>
      <c r="N631">
        <v>59.19</v>
      </c>
      <c r="O631" t="str">
        <f>IF((Sheet1[[#This Row],[Quantity]]*Sheet1[[#This Row],[UnitPrice]])=(Sheet1[[#This Row],[TotalPrice]]), "True", "False")</f>
        <v>True</v>
      </c>
      <c r="P631" t="str">
        <f>IF((Sheet1[[#This Row],[ItemsInCart]]&gt;=Sheet1[[#This Row],[Quantity]]), "Good", "Bad")</f>
        <v>Good</v>
      </c>
      <c r="Q631" t="str">
        <f t="shared" si="45"/>
        <v>OK</v>
      </c>
      <c r="R631" t="str">
        <f t="shared" si="46"/>
        <v>BAD</v>
      </c>
      <c r="S631">
        <f t="shared" si="47"/>
        <v>0</v>
      </c>
      <c r="T631">
        <f t="shared" si="48"/>
        <v>1</v>
      </c>
      <c r="U631" t="str">
        <f t="shared" si="49"/>
        <v>DOCUMENTED</v>
      </c>
    </row>
    <row r="632" spans="1:21">
      <c r="A632" t="s">
        <v>644</v>
      </c>
      <c r="B632" t="s">
        <v>4750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4961</v>
      </c>
      <c r="M632" t="s">
        <v>4278</v>
      </c>
      <c r="N632">
        <v>1244.2</v>
      </c>
      <c r="O632" t="str">
        <f>IF((Sheet1[[#This Row],[Quantity]]*Sheet1[[#This Row],[UnitPrice]])=(Sheet1[[#This Row],[TotalPrice]]), "True", "False")</f>
        <v>True</v>
      </c>
      <c r="P632" t="str">
        <f>IF((Sheet1[[#This Row],[ItemsInCart]]&gt;=Sheet1[[#This Row],[Quantity]]), "Good", "Bad")</f>
        <v>Good</v>
      </c>
      <c r="Q632" t="str">
        <f t="shared" si="45"/>
        <v>OK</v>
      </c>
      <c r="R632" t="str">
        <f t="shared" si="46"/>
        <v>BAD</v>
      </c>
      <c r="S632">
        <f t="shared" si="47"/>
        <v>0</v>
      </c>
      <c r="T632">
        <f t="shared" si="48"/>
        <v>1</v>
      </c>
      <c r="U632" t="str">
        <f t="shared" si="49"/>
        <v>REVIEW_RETURN</v>
      </c>
    </row>
    <row r="633" spans="1:21">
      <c r="A633" t="s">
        <v>645</v>
      </c>
      <c r="B633" t="s">
        <v>4452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 t="str">
        <f>IF((Sheet1[[#This Row],[Quantity]]*Sheet1[[#This Row],[UnitPrice]])=(Sheet1[[#This Row],[TotalPrice]]), "True", "False")</f>
        <v>True</v>
      </c>
      <c r="P633" t="str">
        <f>IF((Sheet1[[#This Row],[ItemsInCart]]&gt;=Sheet1[[#This Row],[Quantity]]), "Good", "Bad")</f>
        <v>Good</v>
      </c>
      <c r="Q633" t="str">
        <f t="shared" si="45"/>
        <v>OK</v>
      </c>
      <c r="R633" t="str">
        <f t="shared" si="46"/>
        <v>GOOD</v>
      </c>
      <c r="S633">
        <f t="shared" si="47"/>
        <v>0</v>
      </c>
      <c r="T633">
        <f t="shared" si="48"/>
        <v>0</v>
      </c>
      <c r="U633" t="str">
        <f t="shared" si="49"/>
        <v>OK</v>
      </c>
    </row>
    <row r="634" spans="1:21">
      <c r="A634" t="s">
        <v>646</v>
      </c>
      <c r="B634" t="s">
        <v>4751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 t="str">
        <f>IF((Sheet1[[#This Row],[Quantity]]*Sheet1[[#This Row],[UnitPrice]])=(Sheet1[[#This Row],[TotalPrice]]), "True", "False")</f>
        <v>True</v>
      </c>
      <c r="P634" t="str">
        <f>IF((Sheet1[[#This Row],[ItemsInCart]]&gt;=Sheet1[[#This Row],[Quantity]]), "Good", "Bad")</f>
        <v>Good</v>
      </c>
      <c r="Q634" t="str">
        <f t="shared" si="45"/>
        <v>OK</v>
      </c>
      <c r="R634" t="str">
        <f t="shared" si="46"/>
        <v>GOOD</v>
      </c>
      <c r="S634">
        <f t="shared" si="47"/>
        <v>0</v>
      </c>
      <c r="T634">
        <f t="shared" si="48"/>
        <v>0</v>
      </c>
      <c r="U634" t="str">
        <f t="shared" si="49"/>
        <v>OK</v>
      </c>
    </row>
    <row r="635" spans="1:21">
      <c r="A635" t="s">
        <v>647</v>
      </c>
      <c r="B635" t="s">
        <v>4577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 t="str">
        <f>IF((Sheet1[[#This Row],[Quantity]]*Sheet1[[#This Row],[UnitPrice]])=(Sheet1[[#This Row],[TotalPrice]]), "True", "False")</f>
        <v>True</v>
      </c>
      <c r="P635" t="str">
        <f>IF((Sheet1[[#This Row],[ItemsInCart]]&gt;=Sheet1[[#This Row],[Quantity]]), "Good", "Bad")</f>
        <v>Good</v>
      </c>
      <c r="Q635" t="str">
        <f t="shared" si="45"/>
        <v>OK</v>
      </c>
      <c r="R635" t="str">
        <f t="shared" si="46"/>
        <v>BAD</v>
      </c>
      <c r="S635">
        <f t="shared" si="47"/>
        <v>0</v>
      </c>
      <c r="T635">
        <f t="shared" si="48"/>
        <v>1</v>
      </c>
      <c r="U635" t="str">
        <f t="shared" si="49"/>
        <v>REVIEW_RETURN</v>
      </c>
    </row>
    <row r="636" spans="1:21">
      <c r="A636" t="s">
        <v>648</v>
      </c>
      <c r="B636" t="s">
        <v>4596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 t="str">
        <f>IF((Sheet1[[#This Row],[Quantity]]*Sheet1[[#This Row],[UnitPrice]])=(Sheet1[[#This Row],[TotalPrice]]), "True", "False")</f>
        <v>True</v>
      </c>
      <c r="P636" t="str">
        <f>IF((Sheet1[[#This Row],[ItemsInCart]]&gt;=Sheet1[[#This Row],[Quantity]]), "Good", "Bad")</f>
        <v>Good</v>
      </c>
      <c r="Q636" t="str">
        <f t="shared" si="45"/>
        <v>OK</v>
      </c>
      <c r="R636" t="str">
        <f t="shared" si="46"/>
        <v>GOOD</v>
      </c>
      <c r="S636">
        <f t="shared" si="47"/>
        <v>0</v>
      </c>
      <c r="T636">
        <f t="shared" si="48"/>
        <v>0</v>
      </c>
      <c r="U636" t="str">
        <f t="shared" si="49"/>
        <v>OK</v>
      </c>
    </row>
    <row r="637" spans="1:21">
      <c r="A637" t="s">
        <v>649</v>
      </c>
      <c r="B637" t="s">
        <v>4424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4961</v>
      </c>
      <c r="M637" t="s">
        <v>4281</v>
      </c>
      <c r="N637">
        <v>191.04</v>
      </c>
      <c r="O637" t="str">
        <f>IF((Sheet1[[#This Row],[Quantity]]*Sheet1[[#This Row],[UnitPrice]])=(Sheet1[[#This Row],[TotalPrice]]), "True", "False")</f>
        <v>True</v>
      </c>
      <c r="P637" t="str">
        <f>IF((Sheet1[[#This Row],[ItemsInCart]]&gt;=Sheet1[[#This Row],[Quantity]]), "Good", "Bad")</f>
        <v>Good</v>
      </c>
      <c r="Q637" t="str">
        <f t="shared" si="45"/>
        <v>OK</v>
      </c>
      <c r="R637" t="str">
        <f t="shared" si="46"/>
        <v>GOOD</v>
      </c>
      <c r="S637">
        <f t="shared" si="47"/>
        <v>0</v>
      </c>
      <c r="T637">
        <f t="shared" si="48"/>
        <v>0</v>
      </c>
      <c r="U637" t="str">
        <f t="shared" si="49"/>
        <v>OK</v>
      </c>
    </row>
    <row r="638" spans="1:21">
      <c r="A638" t="s">
        <v>650</v>
      </c>
      <c r="B638" t="s">
        <v>4752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 t="str">
        <f>IF((Sheet1[[#This Row],[Quantity]]*Sheet1[[#This Row],[UnitPrice]])=(Sheet1[[#This Row],[TotalPrice]]), "True", "False")</f>
        <v>True</v>
      </c>
      <c r="P638" t="str">
        <f>IF((Sheet1[[#This Row],[ItemsInCart]]&gt;=Sheet1[[#This Row],[Quantity]]), "Good", "Bad")</f>
        <v>Good</v>
      </c>
      <c r="Q638" t="str">
        <f t="shared" si="45"/>
        <v>OK</v>
      </c>
      <c r="R638" t="str">
        <f t="shared" si="46"/>
        <v>BAD</v>
      </c>
      <c r="S638">
        <f t="shared" si="47"/>
        <v>0</v>
      </c>
      <c r="T638">
        <f t="shared" si="48"/>
        <v>1</v>
      </c>
      <c r="U638" t="str">
        <f t="shared" si="49"/>
        <v>REVIEW_RETURN</v>
      </c>
    </row>
    <row r="639" spans="1:21">
      <c r="A639" t="s">
        <v>651</v>
      </c>
      <c r="B639" t="s">
        <v>4753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 t="str">
        <f>IF((Sheet1[[#This Row],[Quantity]]*Sheet1[[#This Row],[UnitPrice]])=(Sheet1[[#This Row],[TotalPrice]]), "True", "False")</f>
        <v>True</v>
      </c>
      <c r="P639" t="str">
        <f>IF((Sheet1[[#This Row],[ItemsInCart]]&gt;=Sheet1[[#This Row],[Quantity]]), "Good", "Bad")</f>
        <v>Good</v>
      </c>
      <c r="Q639" t="str">
        <f t="shared" si="45"/>
        <v>OK</v>
      </c>
      <c r="R639" t="str">
        <f t="shared" si="46"/>
        <v>GOOD</v>
      </c>
      <c r="S639">
        <f t="shared" si="47"/>
        <v>0</v>
      </c>
      <c r="T639">
        <f t="shared" si="48"/>
        <v>0</v>
      </c>
      <c r="U639" t="str">
        <f t="shared" si="49"/>
        <v>OK</v>
      </c>
    </row>
    <row r="640" spans="1:21">
      <c r="A640" t="s">
        <v>652</v>
      </c>
      <c r="B640" t="s">
        <v>4286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 t="str">
        <f>IF((Sheet1[[#This Row],[Quantity]]*Sheet1[[#This Row],[UnitPrice]])=(Sheet1[[#This Row],[TotalPrice]]), "True", "False")</f>
        <v>True</v>
      </c>
      <c r="P640" t="str">
        <f>IF((Sheet1[[#This Row],[ItemsInCart]]&gt;=Sheet1[[#This Row],[Quantity]]), "Good", "Bad")</f>
        <v>Good</v>
      </c>
      <c r="Q640" t="str">
        <f t="shared" si="45"/>
        <v>OK</v>
      </c>
      <c r="R640" t="str">
        <f t="shared" si="46"/>
        <v>GOOD</v>
      </c>
      <c r="S640">
        <f t="shared" si="47"/>
        <v>0</v>
      </c>
      <c r="T640">
        <f t="shared" si="48"/>
        <v>0</v>
      </c>
      <c r="U640" t="str">
        <f t="shared" si="49"/>
        <v>OK</v>
      </c>
    </row>
    <row r="641" spans="1:21">
      <c r="A641" t="s">
        <v>653</v>
      </c>
      <c r="B641" t="s">
        <v>4608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4961</v>
      </c>
      <c r="M641" t="s">
        <v>4279</v>
      </c>
      <c r="N641">
        <v>529.19000000000005</v>
      </c>
      <c r="O641" t="str">
        <f>IF((Sheet1[[#This Row],[Quantity]]*Sheet1[[#This Row],[UnitPrice]])=(Sheet1[[#This Row],[TotalPrice]]), "True", "False")</f>
        <v>True</v>
      </c>
      <c r="P641" t="str">
        <f>IF((Sheet1[[#This Row],[ItemsInCart]]&gt;=Sheet1[[#This Row],[Quantity]]), "Good", "Bad")</f>
        <v>Good</v>
      </c>
      <c r="Q641" t="str">
        <f t="shared" si="45"/>
        <v>OK</v>
      </c>
      <c r="R641" t="str">
        <f t="shared" si="46"/>
        <v>BAD</v>
      </c>
      <c r="S641">
        <f t="shared" si="47"/>
        <v>0</v>
      </c>
      <c r="T641">
        <f t="shared" si="48"/>
        <v>1</v>
      </c>
      <c r="U641" t="str">
        <f t="shared" si="49"/>
        <v>REVIEW_RETURN</v>
      </c>
    </row>
    <row r="642" spans="1:21">
      <c r="A642" t="s">
        <v>654</v>
      </c>
      <c r="B642" t="s">
        <v>4285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 t="str">
        <f>IF((Sheet1[[#This Row],[Quantity]]*Sheet1[[#This Row],[UnitPrice]])=(Sheet1[[#This Row],[TotalPrice]]), "True", "False")</f>
        <v>True</v>
      </c>
      <c r="P642" t="str">
        <f>IF((Sheet1[[#This Row],[ItemsInCart]]&gt;=Sheet1[[#This Row],[Quantity]]), "Good", "Bad")</f>
        <v>Good</v>
      </c>
      <c r="Q642" t="str">
        <f t="shared" ref="Q642:Q705" si="50">IF(AND(E642&gt;0, F642&gt;0,N642&gt;0),"OK","INVALID")</f>
        <v>OK</v>
      </c>
      <c r="R642" t="str">
        <f t="shared" ref="R642:R705" si="51">IF(OR(AND(OR(I642="Shipped",I642="Delivered",I642="Returned"),J642=""),AND(OR(I642="Processing",I642="Pending",I642="Cancelled"),J642&lt;&gt;"")),"BAD","GOOD")</f>
        <v>GOOD</v>
      </c>
      <c r="S642">
        <f t="shared" ref="S642:S705" si="52">IF(AND(OR(I642="Shipped",I642="Delivered",I642="Returned"),J642=""),1,0)</f>
        <v>0</v>
      </c>
      <c r="T642">
        <f t="shared" ref="T642:T705" si="53">IF(AND(OR(I642="Processing",I642="Pending",I642="Cancelled"),J642&lt;&gt;""),1,0)</f>
        <v>0</v>
      </c>
      <c r="U642" t="str">
        <f t="shared" ref="U642:U705" si="54">IF(AND(OR(I642="Shipped",I642="Delivered"),J642=""),"MISSING_TRACKING", IF(AND(OR(I642="Processing",I642="Pending"),J642&lt;&gt;""),"DOCUMENTED", IF(AND(I642="Cancelled",J642&lt;&gt;""), "REVIEW_RETURN", "OK")))</f>
        <v>OK</v>
      </c>
    </row>
    <row r="643" spans="1:21">
      <c r="A643" t="s">
        <v>655</v>
      </c>
      <c r="B643" t="s">
        <v>4754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 t="str">
        <f>IF((Sheet1[[#This Row],[Quantity]]*Sheet1[[#This Row],[UnitPrice]])=(Sheet1[[#This Row],[TotalPrice]]), "True", "False")</f>
        <v>True</v>
      </c>
      <c r="P643" t="str">
        <f>IF((Sheet1[[#This Row],[ItemsInCart]]&gt;=Sheet1[[#This Row],[Quantity]]), "Good", "Bad")</f>
        <v>Good</v>
      </c>
      <c r="Q643" t="str">
        <f t="shared" si="50"/>
        <v>OK</v>
      </c>
      <c r="R643" t="str">
        <f t="shared" si="51"/>
        <v>BAD</v>
      </c>
      <c r="S643">
        <f t="shared" si="52"/>
        <v>0</v>
      </c>
      <c r="T643">
        <f t="shared" si="53"/>
        <v>1</v>
      </c>
      <c r="U643" t="str">
        <f t="shared" si="54"/>
        <v>DOCUMENTED</v>
      </c>
    </row>
    <row r="644" spans="1:21">
      <c r="A644" t="s">
        <v>656</v>
      </c>
      <c r="B644" t="s">
        <v>4755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 t="str">
        <f>IF((Sheet1[[#This Row],[Quantity]]*Sheet1[[#This Row],[UnitPrice]])=(Sheet1[[#This Row],[TotalPrice]]), "True", "False")</f>
        <v>True</v>
      </c>
      <c r="P644" t="str">
        <f>IF((Sheet1[[#This Row],[ItemsInCart]]&gt;=Sheet1[[#This Row],[Quantity]]), "Good", "Bad")</f>
        <v>Good</v>
      </c>
      <c r="Q644" t="str">
        <f t="shared" si="50"/>
        <v>OK</v>
      </c>
      <c r="R644" t="str">
        <f t="shared" si="51"/>
        <v>BAD</v>
      </c>
      <c r="S644">
        <f t="shared" si="52"/>
        <v>0</v>
      </c>
      <c r="T644">
        <f t="shared" si="53"/>
        <v>1</v>
      </c>
      <c r="U644" t="str">
        <f t="shared" si="54"/>
        <v>REVIEW_RETURN</v>
      </c>
    </row>
    <row r="645" spans="1:21">
      <c r="A645" t="s">
        <v>657</v>
      </c>
      <c r="B645" t="s">
        <v>4643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 t="str">
        <f>IF((Sheet1[[#This Row],[Quantity]]*Sheet1[[#This Row],[UnitPrice]])=(Sheet1[[#This Row],[TotalPrice]]), "True", "False")</f>
        <v>True</v>
      </c>
      <c r="P645" t="str">
        <f>IF((Sheet1[[#This Row],[ItemsInCart]]&gt;=Sheet1[[#This Row],[Quantity]]), "Good", "Bad")</f>
        <v>Good</v>
      </c>
      <c r="Q645" t="str">
        <f t="shared" si="50"/>
        <v>OK</v>
      </c>
      <c r="R645" t="str">
        <f t="shared" si="51"/>
        <v>BAD</v>
      </c>
      <c r="S645">
        <f t="shared" si="52"/>
        <v>0</v>
      </c>
      <c r="T645">
        <f t="shared" si="53"/>
        <v>1</v>
      </c>
      <c r="U645" t="str">
        <f t="shared" si="54"/>
        <v>REVIEW_RETURN</v>
      </c>
    </row>
    <row r="646" spans="1:21">
      <c r="A646" t="s">
        <v>658</v>
      </c>
      <c r="B646" t="s">
        <v>4658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 t="str">
        <f>IF((Sheet1[[#This Row],[Quantity]]*Sheet1[[#This Row],[UnitPrice]])=(Sheet1[[#This Row],[TotalPrice]]), "True", "False")</f>
        <v>True</v>
      </c>
      <c r="P646" t="str">
        <f>IF((Sheet1[[#This Row],[ItemsInCart]]&gt;=Sheet1[[#This Row],[Quantity]]), "Good", "Bad")</f>
        <v>Good</v>
      </c>
      <c r="Q646" t="str">
        <f t="shared" si="50"/>
        <v>OK</v>
      </c>
      <c r="R646" t="str">
        <f t="shared" si="51"/>
        <v>GOOD</v>
      </c>
      <c r="S646">
        <f t="shared" si="52"/>
        <v>0</v>
      </c>
      <c r="T646">
        <f t="shared" si="53"/>
        <v>0</v>
      </c>
      <c r="U646" t="str">
        <f t="shared" si="54"/>
        <v>OK</v>
      </c>
    </row>
    <row r="647" spans="1:21">
      <c r="A647" t="s">
        <v>659</v>
      </c>
      <c r="B647" t="s">
        <v>4598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 t="str">
        <f>IF((Sheet1[[#This Row],[Quantity]]*Sheet1[[#This Row],[UnitPrice]])=(Sheet1[[#This Row],[TotalPrice]]), "True", "False")</f>
        <v>True</v>
      </c>
      <c r="P647" t="str">
        <f>IF((Sheet1[[#This Row],[ItemsInCart]]&gt;=Sheet1[[#This Row],[Quantity]]), "Good", "Bad")</f>
        <v>Good</v>
      </c>
      <c r="Q647" t="str">
        <f t="shared" si="50"/>
        <v>OK</v>
      </c>
      <c r="R647" t="str">
        <f t="shared" si="51"/>
        <v>BAD</v>
      </c>
      <c r="S647">
        <f t="shared" si="52"/>
        <v>0</v>
      </c>
      <c r="T647">
        <f t="shared" si="53"/>
        <v>1</v>
      </c>
      <c r="U647" t="str">
        <f t="shared" si="54"/>
        <v>REVIEW_RETURN</v>
      </c>
    </row>
    <row r="648" spans="1:21">
      <c r="A648" t="s">
        <v>660</v>
      </c>
      <c r="B648" t="s">
        <v>4405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 t="str">
        <f>IF((Sheet1[[#This Row],[Quantity]]*Sheet1[[#This Row],[UnitPrice]])=(Sheet1[[#This Row],[TotalPrice]]), "True", "False")</f>
        <v>True</v>
      </c>
      <c r="P648" t="str">
        <f>IF((Sheet1[[#This Row],[ItemsInCart]]&gt;=Sheet1[[#This Row],[Quantity]]), "Good", "Bad")</f>
        <v>Good</v>
      </c>
      <c r="Q648" t="str">
        <f t="shared" si="50"/>
        <v>OK</v>
      </c>
      <c r="R648" t="str">
        <f t="shared" si="51"/>
        <v>GOOD</v>
      </c>
      <c r="S648">
        <f t="shared" si="52"/>
        <v>0</v>
      </c>
      <c r="T648">
        <f t="shared" si="53"/>
        <v>0</v>
      </c>
      <c r="U648" t="str">
        <f t="shared" si="54"/>
        <v>OK</v>
      </c>
    </row>
    <row r="649" spans="1:21">
      <c r="A649" t="s">
        <v>661</v>
      </c>
      <c r="B649" t="s">
        <v>4756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 t="str">
        <f>IF((Sheet1[[#This Row],[Quantity]]*Sheet1[[#This Row],[UnitPrice]])=(Sheet1[[#This Row],[TotalPrice]]), "True", "False")</f>
        <v>True</v>
      </c>
      <c r="P649" t="str">
        <f>IF((Sheet1[[#This Row],[ItemsInCart]]&gt;=Sheet1[[#This Row],[Quantity]]), "Good", "Bad")</f>
        <v>Good</v>
      </c>
      <c r="Q649" t="str">
        <f t="shared" si="50"/>
        <v>OK</v>
      </c>
      <c r="R649" t="str">
        <f t="shared" si="51"/>
        <v>GOOD</v>
      </c>
      <c r="S649">
        <f t="shared" si="52"/>
        <v>0</v>
      </c>
      <c r="T649">
        <f t="shared" si="53"/>
        <v>0</v>
      </c>
      <c r="U649" t="str">
        <f t="shared" si="54"/>
        <v>OK</v>
      </c>
    </row>
    <row r="650" spans="1:21">
      <c r="A650" t="s">
        <v>662</v>
      </c>
      <c r="B650" t="s">
        <v>4757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 t="str">
        <f>IF((Sheet1[[#This Row],[Quantity]]*Sheet1[[#This Row],[UnitPrice]])=(Sheet1[[#This Row],[TotalPrice]]), "True", "False")</f>
        <v>True</v>
      </c>
      <c r="P650" t="str">
        <f>IF((Sheet1[[#This Row],[ItemsInCart]]&gt;=Sheet1[[#This Row],[Quantity]]), "Good", "Bad")</f>
        <v>Good</v>
      </c>
      <c r="Q650" t="str">
        <f t="shared" si="50"/>
        <v>OK</v>
      </c>
      <c r="R650" t="str">
        <f t="shared" si="51"/>
        <v>GOOD</v>
      </c>
      <c r="S650">
        <f t="shared" si="52"/>
        <v>0</v>
      </c>
      <c r="T650">
        <f t="shared" si="53"/>
        <v>0</v>
      </c>
      <c r="U650" t="str">
        <f t="shared" si="54"/>
        <v>OK</v>
      </c>
    </row>
    <row r="651" spans="1:21">
      <c r="A651" t="s">
        <v>663</v>
      </c>
      <c r="B651" t="s">
        <v>4758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 t="str">
        <f>IF((Sheet1[[#This Row],[Quantity]]*Sheet1[[#This Row],[UnitPrice]])=(Sheet1[[#This Row],[TotalPrice]]), "True", "False")</f>
        <v>True</v>
      </c>
      <c r="P651" t="str">
        <f>IF((Sheet1[[#This Row],[ItemsInCart]]&gt;=Sheet1[[#This Row],[Quantity]]), "Good", "Bad")</f>
        <v>Good</v>
      </c>
      <c r="Q651" t="str">
        <f t="shared" si="50"/>
        <v>OK</v>
      </c>
      <c r="R651" t="str">
        <f t="shared" si="51"/>
        <v>GOOD</v>
      </c>
      <c r="S651">
        <f t="shared" si="52"/>
        <v>0</v>
      </c>
      <c r="T651">
        <f t="shared" si="53"/>
        <v>0</v>
      </c>
      <c r="U651" t="str">
        <f t="shared" si="54"/>
        <v>OK</v>
      </c>
    </row>
    <row r="652" spans="1:21">
      <c r="A652" t="s">
        <v>664</v>
      </c>
      <c r="B652" t="s">
        <v>4702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 t="str">
        <f>IF((Sheet1[[#This Row],[Quantity]]*Sheet1[[#This Row],[UnitPrice]])=(Sheet1[[#This Row],[TotalPrice]]), "True", "False")</f>
        <v>True</v>
      </c>
      <c r="P652" t="str">
        <f>IF((Sheet1[[#This Row],[ItemsInCart]]&gt;=Sheet1[[#This Row],[Quantity]]), "Good", "Bad")</f>
        <v>Good</v>
      </c>
      <c r="Q652" t="str">
        <f t="shared" si="50"/>
        <v>OK</v>
      </c>
      <c r="R652" t="str">
        <f t="shared" si="51"/>
        <v>GOOD</v>
      </c>
      <c r="S652">
        <f t="shared" si="52"/>
        <v>0</v>
      </c>
      <c r="T652">
        <f t="shared" si="53"/>
        <v>0</v>
      </c>
      <c r="U652" t="str">
        <f t="shared" si="54"/>
        <v>OK</v>
      </c>
    </row>
    <row r="653" spans="1:21">
      <c r="A653" t="s">
        <v>665</v>
      </c>
      <c r="B653" t="s">
        <v>4759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4961</v>
      </c>
      <c r="M653" t="s">
        <v>4282</v>
      </c>
      <c r="N653">
        <v>1939.02</v>
      </c>
      <c r="O653" t="str">
        <f>IF((Sheet1[[#This Row],[Quantity]]*Sheet1[[#This Row],[UnitPrice]])=(Sheet1[[#This Row],[TotalPrice]]), "True", "False")</f>
        <v>True</v>
      </c>
      <c r="P653" t="str">
        <f>IF((Sheet1[[#This Row],[ItemsInCart]]&gt;=Sheet1[[#This Row],[Quantity]]), "Good", "Bad")</f>
        <v>Good</v>
      </c>
      <c r="Q653" t="str">
        <f t="shared" si="50"/>
        <v>OK</v>
      </c>
      <c r="R653" t="str">
        <f t="shared" si="51"/>
        <v>BAD</v>
      </c>
      <c r="S653">
        <f t="shared" si="52"/>
        <v>0</v>
      </c>
      <c r="T653">
        <f t="shared" si="53"/>
        <v>1</v>
      </c>
      <c r="U653" t="str">
        <f t="shared" si="54"/>
        <v>DOCUMENTED</v>
      </c>
    </row>
    <row r="654" spans="1:21">
      <c r="A654" t="s">
        <v>666</v>
      </c>
      <c r="B654" t="s">
        <v>4760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 t="str">
        <f>IF((Sheet1[[#This Row],[Quantity]]*Sheet1[[#This Row],[UnitPrice]])=(Sheet1[[#This Row],[TotalPrice]]), "True", "False")</f>
        <v>True</v>
      </c>
      <c r="P654" t="str">
        <f>IF((Sheet1[[#This Row],[ItemsInCart]]&gt;=Sheet1[[#This Row],[Quantity]]), "Good", "Bad")</f>
        <v>Good</v>
      </c>
      <c r="Q654" t="str">
        <f t="shared" si="50"/>
        <v>OK</v>
      </c>
      <c r="R654" t="str">
        <f t="shared" si="51"/>
        <v>GOOD</v>
      </c>
      <c r="S654">
        <f t="shared" si="52"/>
        <v>0</v>
      </c>
      <c r="T654">
        <f t="shared" si="53"/>
        <v>0</v>
      </c>
      <c r="U654" t="str">
        <f t="shared" si="54"/>
        <v>OK</v>
      </c>
    </row>
    <row r="655" spans="1:21">
      <c r="A655" t="s">
        <v>667</v>
      </c>
      <c r="B655" t="s">
        <v>4685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 t="str">
        <f>IF((Sheet1[[#This Row],[Quantity]]*Sheet1[[#This Row],[UnitPrice]])=(Sheet1[[#This Row],[TotalPrice]]), "True", "False")</f>
        <v>True</v>
      </c>
      <c r="P655" t="str">
        <f>IF((Sheet1[[#This Row],[ItemsInCart]]&gt;=Sheet1[[#This Row],[Quantity]]), "Good", "Bad")</f>
        <v>Good</v>
      </c>
      <c r="Q655" t="str">
        <f t="shared" si="50"/>
        <v>OK</v>
      </c>
      <c r="R655" t="str">
        <f t="shared" si="51"/>
        <v>GOOD</v>
      </c>
      <c r="S655">
        <f t="shared" si="52"/>
        <v>0</v>
      </c>
      <c r="T655">
        <f t="shared" si="53"/>
        <v>0</v>
      </c>
      <c r="U655" t="str">
        <f t="shared" si="54"/>
        <v>OK</v>
      </c>
    </row>
    <row r="656" spans="1:21">
      <c r="A656" t="s">
        <v>668</v>
      </c>
      <c r="B656" t="s">
        <v>4722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4961</v>
      </c>
      <c r="M656" t="s">
        <v>4278</v>
      </c>
      <c r="N656">
        <v>1147.1099999999999</v>
      </c>
      <c r="O656" t="str">
        <f>IF((Sheet1[[#This Row],[Quantity]]*Sheet1[[#This Row],[UnitPrice]])=(Sheet1[[#This Row],[TotalPrice]]), "True", "False")</f>
        <v>True</v>
      </c>
      <c r="P656" t="str">
        <f>IF((Sheet1[[#This Row],[ItemsInCart]]&gt;=Sheet1[[#This Row],[Quantity]]), "Good", "Bad")</f>
        <v>Good</v>
      </c>
      <c r="Q656" t="str">
        <f t="shared" si="50"/>
        <v>OK</v>
      </c>
      <c r="R656" t="str">
        <f t="shared" si="51"/>
        <v>GOOD</v>
      </c>
      <c r="S656">
        <f t="shared" si="52"/>
        <v>0</v>
      </c>
      <c r="T656">
        <f t="shared" si="53"/>
        <v>0</v>
      </c>
      <c r="U656" t="str">
        <f t="shared" si="54"/>
        <v>OK</v>
      </c>
    </row>
    <row r="657" spans="1:21">
      <c r="A657" t="s">
        <v>669</v>
      </c>
      <c r="B657" t="s">
        <v>4652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 t="str">
        <f>IF((Sheet1[[#This Row],[Quantity]]*Sheet1[[#This Row],[UnitPrice]])=(Sheet1[[#This Row],[TotalPrice]]), "True", "False")</f>
        <v>True</v>
      </c>
      <c r="P657" t="str">
        <f>IF((Sheet1[[#This Row],[ItemsInCart]]&gt;=Sheet1[[#This Row],[Quantity]]), "Good", "Bad")</f>
        <v>Good</v>
      </c>
      <c r="Q657" t="str">
        <f t="shared" si="50"/>
        <v>OK</v>
      </c>
      <c r="R657" t="str">
        <f t="shared" si="51"/>
        <v>BAD</v>
      </c>
      <c r="S657">
        <f t="shared" si="52"/>
        <v>0</v>
      </c>
      <c r="T657">
        <f t="shared" si="53"/>
        <v>1</v>
      </c>
      <c r="U657" t="str">
        <f t="shared" si="54"/>
        <v>REVIEW_RETURN</v>
      </c>
    </row>
    <row r="658" spans="1:21">
      <c r="A658" t="s">
        <v>670</v>
      </c>
      <c r="B658" t="s">
        <v>4626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 t="str">
        <f>IF((Sheet1[[#This Row],[Quantity]]*Sheet1[[#This Row],[UnitPrice]])=(Sheet1[[#This Row],[TotalPrice]]), "True", "False")</f>
        <v>True</v>
      </c>
      <c r="P658" t="str">
        <f>IF((Sheet1[[#This Row],[ItemsInCart]]&gt;=Sheet1[[#This Row],[Quantity]]), "Good", "Bad")</f>
        <v>Good</v>
      </c>
      <c r="Q658" t="str">
        <f t="shared" si="50"/>
        <v>OK</v>
      </c>
      <c r="R658" t="str">
        <f t="shared" si="51"/>
        <v>GOOD</v>
      </c>
      <c r="S658">
        <f t="shared" si="52"/>
        <v>0</v>
      </c>
      <c r="T658">
        <f t="shared" si="53"/>
        <v>0</v>
      </c>
      <c r="U658" t="str">
        <f t="shared" si="54"/>
        <v>OK</v>
      </c>
    </row>
    <row r="659" spans="1:21">
      <c r="A659" t="s">
        <v>671</v>
      </c>
      <c r="B659" t="s">
        <v>4761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 t="str">
        <f>IF((Sheet1[[#This Row],[Quantity]]*Sheet1[[#This Row],[UnitPrice]])=(Sheet1[[#This Row],[TotalPrice]]), "True", "False")</f>
        <v>True</v>
      </c>
      <c r="P659" t="str">
        <f>IF((Sheet1[[#This Row],[ItemsInCart]]&gt;=Sheet1[[#This Row],[Quantity]]), "Good", "Bad")</f>
        <v>Good</v>
      </c>
      <c r="Q659" t="str">
        <f t="shared" si="50"/>
        <v>OK</v>
      </c>
      <c r="R659" t="str">
        <f t="shared" si="51"/>
        <v>BAD</v>
      </c>
      <c r="S659">
        <f t="shared" si="52"/>
        <v>0</v>
      </c>
      <c r="T659">
        <f t="shared" si="53"/>
        <v>1</v>
      </c>
      <c r="U659" t="str">
        <f t="shared" si="54"/>
        <v>REVIEW_RETURN</v>
      </c>
    </row>
    <row r="660" spans="1:21">
      <c r="A660" t="s">
        <v>672</v>
      </c>
      <c r="B660" t="s">
        <v>4762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 t="str">
        <f>IF((Sheet1[[#This Row],[Quantity]]*Sheet1[[#This Row],[UnitPrice]])=(Sheet1[[#This Row],[TotalPrice]]), "True", "False")</f>
        <v>True</v>
      </c>
      <c r="P660" t="str">
        <f>IF((Sheet1[[#This Row],[ItemsInCart]]&gt;=Sheet1[[#This Row],[Quantity]]), "Good", "Bad")</f>
        <v>Good</v>
      </c>
      <c r="Q660" t="str">
        <f t="shared" si="50"/>
        <v>OK</v>
      </c>
      <c r="R660" t="str">
        <f t="shared" si="51"/>
        <v>GOOD</v>
      </c>
      <c r="S660">
        <f t="shared" si="52"/>
        <v>0</v>
      </c>
      <c r="T660">
        <f t="shared" si="53"/>
        <v>0</v>
      </c>
      <c r="U660" t="str">
        <f t="shared" si="54"/>
        <v>OK</v>
      </c>
    </row>
    <row r="661" spans="1:21">
      <c r="A661" t="s">
        <v>673</v>
      </c>
      <c r="B661" t="s">
        <v>4763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 t="str">
        <f>IF((Sheet1[[#This Row],[Quantity]]*Sheet1[[#This Row],[UnitPrice]])=(Sheet1[[#This Row],[TotalPrice]]), "True", "False")</f>
        <v>True</v>
      </c>
      <c r="P661" t="str">
        <f>IF((Sheet1[[#This Row],[ItemsInCart]]&gt;=Sheet1[[#This Row],[Quantity]]), "Good", "Bad")</f>
        <v>Good</v>
      </c>
      <c r="Q661" t="str">
        <f t="shared" si="50"/>
        <v>OK</v>
      </c>
      <c r="R661" t="str">
        <f t="shared" si="51"/>
        <v>GOOD</v>
      </c>
      <c r="S661">
        <f t="shared" si="52"/>
        <v>0</v>
      </c>
      <c r="T661">
        <f t="shared" si="53"/>
        <v>0</v>
      </c>
      <c r="U661" t="str">
        <f t="shared" si="54"/>
        <v>OK</v>
      </c>
    </row>
    <row r="662" spans="1:21">
      <c r="A662" t="s">
        <v>674</v>
      </c>
      <c r="B662" t="s">
        <v>4764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 t="str">
        <f>IF((Sheet1[[#This Row],[Quantity]]*Sheet1[[#This Row],[UnitPrice]])=(Sheet1[[#This Row],[TotalPrice]]), "True", "False")</f>
        <v>True</v>
      </c>
      <c r="P662" t="str">
        <f>IF((Sheet1[[#This Row],[ItemsInCart]]&gt;=Sheet1[[#This Row],[Quantity]]), "Good", "Bad")</f>
        <v>Good</v>
      </c>
      <c r="Q662" t="str">
        <f t="shared" si="50"/>
        <v>OK</v>
      </c>
      <c r="R662" t="str">
        <f t="shared" si="51"/>
        <v>GOOD</v>
      </c>
      <c r="S662">
        <f t="shared" si="52"/>
        <v>0</v>
      </c>
      <c r="T662">
        <f t="shared" si="53"/>
        <v>0</v>
      </c>
      <c r="U662" t="str">
        <f t="shared" si="54"/>
        <v>OK</v>
      </c>
    </row>
    <row r="663" spans="1:21">
      <c r="A663" t="s">
        <v>675</v>
      </c>
      <c r="B663" t="s">
        <v>4535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 t="str">
        <f>IF((Sheet1[[#This Row],[Quantity]]*Sheet1[[#This Row],[UnitPrice]])=(Sheet1[[#This Row],[TotalPrice]]), "True", "False")</f>
        <v>True</v>
      </c>
      <c r="P663" t="str">
        <f>IF((Sheet1[[#This Row],[ItemsInCart]]&gt;=Sheet1[[#This Row],[Quantity]]), "Good", "Bad")</f>
        <v>Good</v>
      </c>
      <c r="Q663" t="str">
        <f t="shared" si="50"/>
        <v>OK</v>
      </c>
      <c r="R663" t="str">
        <f t="shared" si="51"/>
        <v>BAD</v>
      </c>
      <c r="S663">
        <f t="shared" si="52"/>
        <v>0</v>
      </c>
      <c r="T663">
        <f t="shared" si="53"/>
        <v>1</v>
      </c>
      <c r="U663" t="str">
        <f t="shared" si="54"/>
        <v>REVIEW_RETURN</v>
      </c>
    </row>
    <row r="664" spans="1:21">
      <c r="A664" t="s">
        <v>676</v>
      </c>
      <c r="B664" t="s">
        <v>4706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4961</v>
      </c>
      <c r="M664" t="s">
        <v>4281</v>
      </c>
      <c r="N664">
        <v>1316.67</v>
      </c>
      <c r="O664" t="str">
        <f>IF((Sheet1[[#This Row],[Quantity]]*Sheet1[[#This Row],[UnitPrice]])=(Sheet1[[#This Row],[TotalPrice]]), "True", "False")</f>
        <v>True</v>
      </c>
      <c r="P664" t="str">
        <f>IF((Sheet1[[#This Row],[ItemsInCart]]&gt;=Sheet1[[#This Row],[Quantity]]), "Good", "Bad")</f>
        <v>Good</v>
      </c>
      <c r="Q664" t="str">
        <f t="shared" si="50"/>
        <v>OK</v>
      </c>
      <c r="R664" t="str">
        <f t="shared" si="51"/>
        <v>GOOD</v>
      </c>
      <c r="S664">
        <f t="shared" si="52"/>
        <v>0</v>
      </c>
      <c r="T664">
        <f t="shared" si="53"/>
        <v>0</v>
      </c>
      <c r="U664" t="str">
        <f t="shared" si="54"/>
        <v>OK</v>
      </c>
    </row>
    <row r="665" spans="1:21">
      <c r="A665" t="s">
        <v>677</v>
      </c>
      <c r="B665" t="s">
        <v>4399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 t="str">
        <f>IF((Sheet1[[#This Row],[Quantity]]*Sheet1[[#This Row],[UnitPrice]])=(Sheet1[[#This Row],[TotalPrice]]), "True", "False")</f>
        <v>True</v>
      </c>
      <c r="P665" t="str">
        <f>IF((Sheet1[[#This Row],[ItemsInCart]]&gt;=Sheet1[[#This Row],[Quantity]]), "Good", "Bad")</f>
        <v>Good</v>
      </c>
      <c r="Q665" t="str">
        <f t="shared" si="50"/>
        <v>OK</v>
      </c>
      <c r="R665" t="str">
        <f t="shared" si="51"/>
        <v>BAD</v>
      </c>
      <c r="S665">
        <f t="shared" si="52"/>
        <v>0</v>
      </c>
      <c r="T665">
        <f t="shared" si="53"/>
        <v>1</v>
      </c>
      <c r="U665" t="str">
        <f t="shared" si="54"/>
        <v>REVIEW_RETURN</v>
      </c>
    </row>
    <row r="666" spans="1:21">
      <c r="A666" t="s">
        <v>678</v>
      </c>
      <c r="B666" t="s">
        <v>4319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4961</v>
      </c>
      <c r="M666" t="s">
        <v>4281</v>
      </c>
      <c r="N666">
        <v>779</v>
      </c>
      <c r="O666" t="str">
        <f>IF((Sheet1[[#This Row],[Quantity]]*Sheet1[[#This Row],[UnitPrice]])=(Sheet1[[#This Row],[TotalPrice]]), "True", "False")</f>
        <v>True</v>
      </c>
      <c r="P666" t="str">
        <f>IF((Sheet1[[#This Row],[ItemsInCart]]&gt;=Sheet1[[#This Row],[Quantity]]), "Good", "Bad")</f>
        <v>Good</v>
      </c>
      <c r="Q666" t="str">
        <f t="shared" si="50"/>
        <v>OK</v>
      </c>
      <c r="R666" t="str">
        <f t="shared" si="51"/>
        <v>GOOD</v>
      </c>
      <c r="S666">
        <f t="shared" si="52"/>
        <v>0</v>
      </c>
      <c r="T666">
        <f t="shared" si="53"/>
        <v>0</v>
      </c>
      <c r="U666" t="str">
        <f t="shared" si="54"/>
        <v>OK</v>
      </c>
    </row>
    <row r="667" spans="1:21">
      <c r="A667" t="s">
        <v>679</v>
      </c>
      <c r="B667" t="s">
        <v>4751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 t="str">
        <f>IF((Sheet1[[#This Row],[Quantity]]*Sheet1[[#This Row],[UnitPrice]])=(Sheet1[[#This Row],[TotalPrice]]), "True", "False")</f>
        <v>True</v>
      </c>
      <c r="P667" t="str">
        <f>IF((Sheet1[[#This Row],[ItemsInCart]]&gt;=Sheet1[[#This Row],[Quantity]]), "Good", "Bad")</f>
        <v>Good</v>
      </c>
      <c r="Q667" t="str">
        <f t="shared" si="50"/>
        <v>OK</v>
      </c>
      <c r="R667" t="str">
        <f t="shared" si="51"/>
        <v>GOOD</v>
      </c>
      <c r="S667">
        <f t="shared" si="52"/>
        <v>0</v>
      </c>
      <c r="T667">
        <f t="shared" si="53"/>
        <v>0</v>
      </c>
      <c r="U667" t="str">
        <f t="shared" si="54"/>
        <v>OK</v>
      </c>
    </row>
    <row r="668" spans="1:21">
      <c r="A668" t="s">
        <v>680</v>
      </c>
      <c r="B668" t="s">
        <v>4452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4961</v>
      </c>
      <c r="M668" t="s">
        <v>4280</v>
      </c>
      <c r="N668">
        <v>1308.48</v>
      </c>
      <c r="O668" t="str">
        <f>IF((Sheet1[[#This Row],[Quantity]]*Sheet1[[#This Row],[UnitPrice]])=(Sheet1[[#This Row],[TotalPrice]]), "True", "False")</f>
        <v>True</v>
      </c>
      <c r="P668" t="str">
        <f>IF((Sheet1[[#This Row],[ItemsInCart]]&gt;=Sheet1[[#This Row],[Quantity]]), "Good", "Bad")</f>
        <v>Good</v>
      </c>
      <c r="Q668" t="str">
        <f t="shared" si="50"/>
        <v>OK</v>
      </c>
      <c r="R668" t="str">
        <f t="shared" si="51"/>
        <v>BAD</v>
      </c>
      <c r="S668">
        <f t="shared" si="52"/>
        <v>0</v>
      </c>
      <c r="T668">
        <f t="shared" si="53"/>
        <v>1</v>
      </c>
      <c r="U668" t="str">
        <f t="shared" si="54"/>
        <v>REVIEW_RETURN</v>
      </c>
    </row>
    <row r="669" spans="1:21">
      <c r="A669" t="s">
        <v>681</v>
      </c>
      <c r="B669" t="s">
        <v>4354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 t="str">
        <f>IF((Sheet1[[#This Row],[Quantity]]*Sheet1[[#This Row],[UnitPrice]])=(Sheet1[[#This Row],[TotalPrice]]), "True", "False")</f>
        <v>True</v>
      </c>
      <c r="P669" t="str">
        <f>IF((Sheet1[[#This Row],[ItemsInCart]]&gt;=Sheet1[[#This Row],[Quantity]]), "Good", "Bad")</f>
        <v>Good</v>
      </c>
      <c r="Q669" t="str">
        <f t="shared" si="50"/>
        <v>OK</v>
      </c>
      <c r="R669" t="str">
        <f t="shared" si="51"/>
        <v>BAD</v>
      </c>
      <c r="S669">
        <f t="shared" si="52"/>
        <v>0</v>
      </c>
      <c r="T669">
        <f t="shared" si="53"/>
        <v>1</v>
      </c>
      <c r="U669" t="str">
        <f t="shared" si="54"/>
        <v>DOCUMENTED</v>
      </c>
    </row>
    <row r="670" spans="1:21">
      <c r="A670" t="s">
        <v>682</v>
      </c>
      <c r="B670" t="s">
        <v>4765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 t="str">
        <f>IF((Sheet1[[#This Row],[Quantity]]*Sheet1[[#This Row],[UnitPrice]])=(Sheet1[[#This Row],[TotalPrice]]), "True", "False")</f>
        <v>True</v>
      </c>
      <c r="P670" t="str">
        <f>IF((Sheet1[[#This Row],[ItemsInCart]]&gt;=Sheet1[[#This Row],[Quantity]]), "Good", "Bad")</f>
        <v>Good</v>
      </c>
      <c r="Q670" t="str">
        <f t="shared" si="50"/>
        <v>OK</v>
      </c>
      <c r="R670" t="str">
        <f t="shared" si="51"/>
        <v>GOOD</v>
      </c>
      <c r="S670">
        <f t="shared" si="52"/>
        <v>0</v>
      </c>
      <c r="T670">
        <f t="shared" si="53"/>
        <v>0</v>
      </c>
      <c r="U670" t="str">
        <f t="shared" si="54"/>
        <v>OK</v>
      </c>
    </row>
    <row r="671" spans="1:21">
      <c r="A671" t="s">
        <v>683</v>
      </c>
      <c r="B671" t="s">
        <v>4766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4961</v>
      </c>
      <c r="M671" t="s">
        <v>4279</v>
      </c>
      <c r="N671">
        <v>257</v>
      </c>
      <c r="O671" t="str">
        <f>IF((Sheet1[[#This Row],[Quantity]]*Sheet1[[#This Row],[UnitPrice]])=(Sheet1[[#This Row],[TotalPrice]]), "True", "False")</f>
        <v>True</v>
      </c>
      <c r="P671" t="str">
        <f>IF((Sheet1[[#This Row],[ItemsInCart]]&gt;=Sheet1[[#This Row],[Quantity]]), "Good", "Bad")</f>
        <v>Good</v>
      </c>
      <c r="Q671" t="str">
        <f t="shared" si="50"/>
        <v>OK</v>
      </c>
      <c r="R671" t="str">
        <f t="shared" si="51"/>
        <v>BAD</v>
      </c>
      <c r="S671">
        <f t="shared" si="52"/>
        <v>0</v>
      </c>
      <c r="T671">
        <f t="shared" si="53"/>
        <v>1</v>
      </c>
      <c r="U671" t="str">
        <f t="shared" si="54"/>
        <v>REVIEW_RETURN</v>
      </c>
    </row>
    <row r="672" spans="1:21">
      <c r="A672" t="s">
        <v>684</v>
      </c>
      <c r="B672" t="s">
        <v>4454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 t="str">
        <f>IF((Sheet1[[#This Row],[Quantity]]*Sheet1[[#This Row],[UnitPrice]])=(Sheet1[[#This Row],[TotalPrice]]), "True", "False")</f>
        <v>True</v>
      </c>
      <c r="P672" t="str">
        <f>IF((Sheet1[[#This Row],[ItemsInCart]]&gt;=Sheet1[[#This Row],[Quantity]]), "Good", "Bad")</f>
        <v>Good</v>
      </c>
      <c r="Q672" t="str">
        <f t="shared" si="50"/>
        <v>OK</v>
      </c>
      <c r="R672" t="str">
        <f t="shared" si="51"/>
        <v>BAD</v>
      </c>
      <c r="S672">
        <f t="shared" si="52"/>
        <v>0</v>
      </c>
      <c r="T672">
        <f t="shared" si="53"/>
        <v>1</v>
      </c>
      <c r="U672" t="str">
        <f t="shared" si="54"/>
        <v>DOCUMENTED</v>
      </c>
    </row>
    <row r="673" spans="1:21">
      <c r="A673" t="s">
        <v>685</v>
      </c>
      <c r="B673" t="s">
        <v>4767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 t="str">
        <f>IF((Sheet1[[#This Row],[Quantity]]*Sheet1[[#This Row],[UnitPrice]])=(Sheet1[[#This Row],[TotalPrice]]), "True", "False")</f>
        <v>True</v>
      </c>
      <c r="P673" t="str">
        <f>IF((Sheet1[[#This Row],[ItemsInCart]]&gt;=Sheet1[[#This Row],[Quantity]]), "Good", "Bad")</f>
        <v>Good</v>
      </c>
      <c r="Q673" t="str">
        <f t="shared" si="50"/>
        <v>OK</v>
      </c>
      <c r="R673" t="str">
        <f t="shared" si="51"/>
        <v>BAD</v>
      </c>
      <c r="S673">
        <f t="shared" si="52"/>
        <v>0</v>
      </c>
      <c r="T673">
        <f t="shared" si="53"/>
        <v>1</v>
      </c>
      <c r="U673" t="str">
        <f t="shared" si="54"/>
        <v>REVIEW_RETURN</v>
      </c>
    </row>
    <row r="674" spans="1:21">
      <c r="A674" t="s">
        <v>686</v>
      </c>
      <c r="B674" t="s">
        <v>4504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 t="str">
        <f>IF((Sheet1[[#This Row],[Quantity]]*Sheet1[[#This Row],[UnitPrice]])=(Sheet1[[#This Row],[TotalPrice]]), "True", "False")</f>
        <v>True</v>
      </c>
      <c r="P674" t="str">
        <f>IF((Sheet1[[#This Row],[ItemsInCart]]&gt;=Sheet1[[#This Row],[Quantity]]), "Good", "Bad")</f>
        <v>Good</v>
      </c>
      <c r="Q674" t="str">
        <f t="shared" si="50"/>
        <v>OK</v>
      </c>
      <c r="R674" t="str">
        <f t="shared" si="51"/>
        <v>GOOD</v>
      </c>
      <c r="S674">
        <f t="shared" si="52"/>
        <v>0</v>
      </c>
      <c r="T674">
        <f t="shared" si="53"/>
        <v>0</v>
      </c>
      <c r="U674" t="str">
        <f t="shared" si="54"/>
        <v>OK</v>
      </c>
    </row>
    <row r="675" spans="1:21">
      <c r="A675" t="s">
        <v>687</v>
      </c>
      <c r="B675" t="s">
        <v>4768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 t="str">
        <f>IF((Sheet1[[#This Row],[Quantity]]*Sheet1[[#This Row],[UnitPrice]])=(Sheet1[[#This Row],[TotalPrice]]), "True", "False")</f>
        <v>True</v>
      </c>
      <c r="P675" t="str">
        <f>IF((Sheet1[[#This Row],[ItemsInCart]]&gt;=Sheet1[[#This Row],[Quantity]]), "Good", "Bad")</f>
        <v>Good</v>
      </c>
      <c r="Q675" t="str">
        <f t="shared" si="50"/>
        <v>OK</v>
      </c>
      <c r="R675" t="str">
        <f t="shared" si="51"/>
        <v>GOOD</v>
      </c>
      <c r="S675">
        <f t="shared" si="52"/>
        <v>0</v>
      </c>
      <c r="T675">
        <f t="shared" si="53"/>
        <v>0</v>
      </c>
      <c r="U675" t="str">
        <f t="shared" si="54"/>
        <v>OK</v>
      </c>
    </row>
    <row r="676" spans="1:21">
      <c r="A676" t="s">
        <v>688</v>
      </c>
      <c r="B676" t="s">
        <v>4769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 t="str">
        <f>IF((Sheet1[[#This Row],[Quantity]]*Sheet1[[#This Row],[UnitPrice]])=(Sheet1[[#This Row],[TotalPrice]]), "True", "False")</f>
        <v>True</v>
      </c>
      <c r="P676" t="str">
        <f>IF((Sheet1[[#This Row],[ItemsInCart]]&gt;=Sheet1[[#This Row],[Quantity]]), "Good", "Bad")</f>
        <v>Good</v>
      </c>
      <c r="Q676" t="str">
        <f t="shared" si="50"/>
        <v>OK</v>
      </c>
      <c r="R676" t="str">
        <f t="shared" si="51"/>
        <v>GOOD</v>
      </c>
      <c r="S676">
        <f t="shared" si="52"/>
        <v>0</v>
      </c>
      <c r="T676">
        <f t="shared" si="53"/>
        <v>0</v>
      </c>
      <c r="U676" t="str">
        <f t="shared" si="54"/>
        <v>OK</v>
      </c>
    </row>
    <row r="677" spans="1:21">
      <c r="A677" t="s">
        <v>689</v>
      </c>
      <c r="B677" t="s">
        <v>4359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4961</v>
      </c>
      <c r="M677" t="s">
        <v>4280</v>
      </c>
      <c r="N677">
        <v>1026.06</v>
      </c>
      <c r="O677" t="str">
        <f>IF((Sheet1[[#This Row],[Quantity]]*Sheet1[[#This Row],[UnitPrice]])=(Sheet1[[#This Row],[TotalPrice]]), "True", "False")</f>
        <v>True</v>
      </c>
      <c r="P677" t="str">
        <f>IF((Sheet1[[#This Row],[ItemsInCart]]&gt;=Sheet1[[#This Row],[Quantity]]), "Good", "Bad")</f>
        <v>Good</v>
      </c>
      <c r="Q677" t="str">
        <f t="shared" si="50"/>
        <v>OK</v>
      </c>
      <c r="R677" t="str">
        <f t="shared" si="51"/>
        <v>BAD</v>
      </c>
      <c r="S677">
        <f t="shared" si="52"/>
        <v>0</v>
      </c>
      <c r="T677">
        <f t="shared" si="53"/>
        <v>1</v>
      </c>
      <c r="U677" t="str">
        <f t="shared" si="54"/>
        <v>DOCUMENTED</v>
      </c>
    </row>
    <row r="678" spans="1:21">
      <c r="A678" t="s">
        <v>690</v>
      </c>
      <c r="B678" t="s">
        <v>4410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 t="str">
        <f>IF((Sheet1[[#This Row],[Quantity]]*Sheet1[[#This Row],[UnitPrice]])=(Sheet1[[#This Row],[TotalPrice]]), "True", "False")</f>
        <v>True</v>
      </c>
      <c r="P678" t="str">
        <f>IF((Sheet1[[#This Row],[ItemsInCart]]&gt;=Sheet1[[#This Row],[Quantity]]), "Good", "Bad")</f>
        <v>Good</v>
      </c>
      <c r="Q678" t="str">
        <f t="shared" si="50"/>
        <v>OK</v>
      </c>
      <c r="R678" t="str">
        <f t="shared" si="51"/>
        <v>BAD</v>
      </c>
      <c r="S678">
        <f t="shared" si="52"/>
        <v>0</v>
      </c>
      <c r="T678">
        <f t="shared" si="53"/>
        <v>1</v>
      </c>
      <c r="U678" t="str">
        <f t="shared" si="54"/>
        <v>REVIEW_RETURN</v>
      </c>
    </row>
    <row r="679" spans="1:21">
      <c r="A679" t="s">
        <v>691</v>
      </c>
      <c r="B679" t="s">
        <v>4770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 t="str">
        <f>IF((Sheet1[[#This Row],[Quantity]]*Sheet1[[#This Row],[UnitPrice]])=(Sheet1[[#This Row],[TotalPrice]]), "True", "False")</f>
        <v>True</v>
      </c>
      <c r="P679" t="str">
        <f>IF((Sheet1[[#This Row],[ItemsInCart]]&gt;=Sheet1[[#This Row],[Quantity]]), "Good", "Bad")</f>
        <v>Good</v>
      </c>
      <c r="Q679" t="str">
        <f t="shared" si="50"/>
        <v>OK</v>
      </c>
      <c r="R679" t="str">
        <f t="shared" si="51"/>
        <v>BAD</v>
      </c>
      <c r="S679">
        <f t="shared" si="52"/>
        <v>0</v>
      </c>
      <c r="T679">
        <f t="shared" si="53"/>
        <v>1</v>
      </c>
      <c r="U679" t="str">
        <f t="shared" si="54"/>
        <v>REVIEW_RETURN</v>
      </c>
    </row>
    <row r="680" spans="1:21">
      <c r="A680" t="s">
        <v>692</v>
      </c>
      <c r="B680" t="s">
        <v>4450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 t="str">
        <f>IF((Sheet1[[#This Row],[Quantity]]*Sheet1[[#This Row],[UnitPrice]])=(Sheet1[[#This Row],[TotalPrice]]), "True", "False")</f>
        <v>True</v>
      </c>
      <c r="P680" t="str">
        <f>IF((Sheet1[[#This Row],[ItemsInCart]]&gt;=Sheet1[[#This Row],[Quantity]]), "Good", "Bad")</f>
        <v>Good</v>
      </c>
      <c r="Q680" t="str">
        <f t="shared" si="50"/>
        <v>OK</v>
      </c>
      <c r="R680" t="str">
        <f t="shared" si="51"/>
        <v>GOOD</v>
      </c>
      <c r="S680">
        <f t="shared" si="52"/>
        <v>0</v>
      </c>
      <c r="T680">
        <f t="shared" si="53"/>
        <v>0</v>
      </c>
      <c r="U680" t="str">
        <f t="shared" si="54"/>
        <v>OK</v>
      </c>
    </row>
    <row r="681" spans="1:21">
      <c r="A681" t="s">
        <v>693</v>
      </c>
      <c r="B681" t="s">
        <v>4771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 t="str">
        <f>IF((Sheet1[[#This Row],[Quantity]]*Sheet1[[#This Row],[UnitPrice]])=(Sheet1[[#This Row],[TotalPrice]]), "True", "False")</f>
        <v>True</v>
      </c>
      <c r="P681" t="str">
        <f>IF((Sheet1[[#This Row],[ItemsInCart]]&gt;=Sheet1[[#This Row],[Quantity]]), "Good", "Bad")</f>
        <v>Good</v>
      </c>
      <c r="Q681" t="str">
        <f t="shared" si="50"/>
        <v>OK</v>
      </c>
      <c r="R681" t="str">
        <f t="shared" si="51"/>
        <v>GOOD</v>
      </c>
      <c r="S681">
        <f t="shared" si="52"/>
        <v>0</v>
      </c>
      <c r="T681">
        <f t="shared" si="53"/>
        <v>0</v>
      </c>
      <c r="U681" t="str">
        <f t="shared" si="54"/>
        <v>OK</v>
      </c>
    </row>
    <row r="682" spans="1:21">
      <c r="A682" t="s">
        <v>694</v>
      </c>
      <c r="B682" t="s">
        <v>4466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4961</v>
      </c>
      <c r="M682" t="s">
        <v>4281</v>
      </c>
      <c r="N682">
        <v>1390.17</v>
      </c>
      <c r="O682" t="str">
        <f>IF((Sheet1[[#This Row],[Quantity]]*Sheet1[[#This Row],[UnitPrice]])=(Sheet1[[#This Row],[TotalPrice]]), "True", "False")</f>
        <v>True</v>
      </c>
      <c r="P682" t="str">
        <f>IF((Sheet1[[#This Row],[ItemsInCart]]&gt;=Sheet1[[#This Row],[Quantity]]), "Good", "Bad")</f>
        <v>Good</v>
      </c>
      <c r="Q682" t="str">
        <f t="shared" si="50"/>
        <v>OK</v>
      </c>
      <c r="R682" t="str">
        <f t="shared" si="51"/>
        <v>GOOD</v>
      </c>
      <c r="S682">
        <f t="shared" si="52"/>
        <v>0</v>
      </c>
      <c r="T682">
        <f t="shared" si="53"/>
        <v>0</v>
      </c>
      <c r="U682" t="str">
        <f t="shared" si="54"/>
        <v>OK</v>
      </c>
    </row>
    <row r="683" spans="1:21">
      <c r="A683" t="s">
        <v>695</v>
      </c>
      <c r="B683" t="s">
        <v>4772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4961</v>
      </c>
      <c r="M683" t="s">
        <v>4280</v>
      </c>
      <c r="N683">
        <v>155.27000000000001</v>
      </c>
      <c r="O683" t="str">
        <f>IF((Sheet1[[#This Row],[Quantity]]*Sheet1[[#This Row],[UnitPrice]])=(Sheet1[[#This Row],[TotalPrice]]), "True", "False")</f>
        <v>True</v>
      </c>
      <c r="P683" t="str">
        <f>IF((Sheet1[[#This Row],[ItemsInCart]]&gt;=Sheet1[[#This Row],[Quantity]]), "Good", "Bad")</f>
        <v>Good</v>
      </c>
      <c r="Q683" t="str">
        <f t="shared" si="50"/>
        <v>OK</v>
      </c>
      <c r="R683" t="str">
        <f t="shared" si="51"/>
        <v>GOOD</v>
      </c>
      <c r="S683">
        <f t="shared" si="52"/>
        <v>0</v>
      </c>
      <c r="T683">
        <f t="shared" si="53"/>
        <v>0</v>
      </c>
      <c r="U683" t="str">
        <f t="shared" si="54"/>
        <v>OK</v>
      </c>
    </row>
    <row r="684" spans="1:21">
      <c r="A684" t="s">
        <v>696</v>
      </c>
      <c r="B684" t="s">
        <v>4646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 t="str">
        <f>IF((Sheet1[[#This Row],[Quantity]]*Sheet1[[#This Row],[UnitPrice]])=(Sheet1[[#This Row],[TotalPrice]]), "True", "False")</f>
        <v>True</v>
      </c>
      <c r="P684" t="str">
        <f>IF((Sheet1[[#This Row],[ItemsInCart]]&gt;=Sheet1[[#This Row],[Quantity]]), "Good", "Bad")</f>
        <v>Good</v>
      </c>
      <c r="Q684" t="str">
        <f t="shared" si="50"/>
        <v>OK</v>
      </c>
      <c r="R684" t="str">
        <f t="shared" si="51"/>
        <v>BAD</v>
      </c>
      <c r="S684">
        <f t="shared" si="52"/>
        <v>0</v>
      </c>
      <c r="T684">
        <f t="shared" si="53"/>
        <v>1</v>
      </c>
      <c r="U684" t="str">
        <f t="shared" si="54"/>
        <v>REVIEW_RETURN</v>
      </c>
    </row>
    <row r="685" spans="1:21">
      <c r="A685" t="s">
        <v>697</v>
      </c>
      <c r="B685" t="s">
        <v>4773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 t="str">
        <f>IF((Sheet1[[#This Row],[Quantity]]*Sheet1[[#This Row],[UnitPrice]])=(Sheet1[[#This Row],[TotalPrice]]), "True", "False")</f>
        <v>True</v>
      </c>
      <c r="P685" t="str">
        <f>IF((Sheet1[[#This Row],[ItemsInCart]]&gt;=Sheet1[[#This Row],[Quantity]]), "Good", "Bad")</f>
        <v>Good</v>
      </c>
      <c r="Q685" t="str">
        <f t="shared" si="50"/>
        <v>OK</v>
      </c>
      <c r="R685" t="str">
        <f t="shared" si="51"/>
        <v>BAD</v>
      </c>
      <c r="S685">
        <f t="shared" si="52"/>
        <v>0</v>
      </c>
      <c r="T685">
        <f t="shared" si="53"/>
        <v>1</v>
      </c>
      <c r="U685" t="str">
        <f t="shared" si="54"/>
        <v>DOCUMENTED</v>
      </c>
    </row>
    <row r="686" spans="1:21">
      <c r="A686" t="s">
        <v>698</v>
      </c>
      <c r="B686" t="s">
        <v>4774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4961</v>
      </c>
      <c r="M686" t="s">
        <v>4280</v>
      </c>
      <c r="N686">
        <v>139.36000000000001</v>
      </c>
      <c r="O686" t="str">
        <f>IF((Sheet1[[#This Row],[Quantity]]*Sheet1[[#This Row],[UnitPrice]])=(Sheet1[[#This Row],[TotalPrice]]), "True", "False")</f>
        <v>True</v>
      </c>
      <c r="P686" t="str">
        <f>IF((Sheet1[[#This Row],[ItemsInCart]]&gt;=Sheet1[[#This Row],[Quantity]]), "Good", "Bad")</f>
        <v>Good</v>
      </c>
      <c r="Q686" t="str">
        <f t="shared" si="50"/>
        <v>OK</v>
      </c>
      <c r="R686" t="str">
        <f t="shared" si="51"/>
        <v>GOOD</v>
      </c>
      <c r="S686">
        <f t="shared" si="52"/>
        <v>0</v>
      </c>
      <c r="T686">
        <f t="shared" si="53"/>
        <v>0</v>
      </c>
      <c r="U686" t="str">
        <f t="shared" si="54"/>
        <v>OK</v>
      </c>
    </row>
    <row r="687" spans="1:21">
      <c r="A687" t="s">
        <v>699</v>
      </c>
      <c r="B687" t="s">
        <v>4775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 t="str">
        <f>IF((Sheet1[[#This Row],[Quantity]]*Sheet1[[#This Row],[UnitPrice]])=(Sheet1[[#This Row],[TotalPrice]]), "True", "False")</f>
        <v>True</v>
      </c>
      <c r="P687" t="str">
        <f>IF((Sheet1[[#This Row],[ItemsInCart]]&gt;=Sheet1[[#This Row],[Quantity]]), "Good", "Bad")</f>
        <v>Good</v>
      </c>
      <c r="Q687" t="str">
        <f t="shared" si="50"/>
        <v>OK</v>
      </c>
      <c r="R687" t="str">
        <f t="shared" si="51"/>
        <v>GOOD</v>
      </c>
      <c r="S687">
        <f t="shared" si="52"/>
        <v>0</v>
      </c>
      <c r="T687">
        <f t="shared" si="53"/>
        <v>0</v>
      </c>
      <c r="U687" t="str">
        <f t="shared" si="54"/>
        <v>OK</v>
      </c>
    </row>
    <row r="688" spans="1:21">
      <c r="A688" t="s">
        <v>700</v>
      </c>
      <c r="B688" t="s">
        <v>4395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 t="str">
        <f>IF((Sheet1[[#This Row],[Quantity]]*Sheet1[[#This Row],[UnitPrice]])=(Sheet1[[#This Row],[TotalPrice]]), "True", "False")</f>
        <v>True</v>
      </c>
      <c r="P688" t="str">
        <f>IF((Sheet1[[#This Row],[ItemsInCart]]&gt;=Sheet1[[#This Row],[Quantity]]), "Good", "Bad")</f>
        <v>Good</v>
      </c>
      <c r="Q688" t="str">
        <f t="shared" si="50"/>
        <v>OK</v>
      </c>
      <c r="R688" t="str">
        <f t="shared" si="51"/>
        <v>BAD</v>
      </c>
      <c r="S688">
        <f t="shared" si="52"/>
        <v>0</v>
      </c>
      <c r="T688">
        <f t="shared" si="53"/>
        <v>1</v>
      </c>
      <c r="U688" t="str">
        <f t="shared" si="54"/>
        <v>DOCUMENTED</v>
      </c>
    </row>
    <row r="689" spans="1:21">
      <c r="A689" t="s">
        <v>701</v>
      </c>
      <c r="B689" t="s">
        <v>4776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 t="str">
        <f>IF((Sheet1[[#This Row],[Quantity]]*Sheet1[[#This Row],[UnitPrice]])=(Sheet1[[#This Row],[TotalPrice]]), "True", "False")</f>
        <v>True</v>
      </c>
      <c r="P689" t="str">
        <f>IF((Sheet1[[#This Row],[ItemsInCart]]&gt;=Sheet1[[#This Row],[Quantity]]), "Good", "Bad")</f>
        <v>Good</v>
      </c>
      <c r="Q689" t="str">
        <f t="shared" si="50"/>
        <v>OK</v>
      </c>
      <c r="R689" t="str">
        <f t="shared" si="51"/>
        <v>GOOD</v>
      </c>
      <c r="S689">
        <f t="shared" si="52"/>
        <v>0</v>
      </c>
      <c r="T689">
        <f t="shared" si="53"/>
        <v>0</v>
      </c>
      <c r="U689" t="str">
        <f t="shared" si="54"/>
        <v>OK</v>
      </c>
    </row>
    <row r="690" spans="1:21">
      <c r="A690" t="s">
        <v>702</v>
      </c>
      <c r="B690" t="s">
        <v>4309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 t="str">
        <f>IF((Sheet1[[#This Row],[Quantity]]*Sheet1[[#This Row],[UnitPrice]])=(Sheet1[[#This Row],[TotalPrice]]), "True", "False")</f>
        <v>True</v>
      </c>
      <c r="P690" t="str">
        <f>IF((Sheet1[[#This Row],[ItemsInCart]]&gt;=Sheet1[[#This Row],[Quantity]]), "Good", "Bad")</f>
        <v>Good</v>
      </c>
      <c r="Q690" t="str">
        <f t="shared" si="50"/>
        <v>OK</v>
      </c>
      <c r="R690" t="str">
        <f t="shared" si="51"/>
        <v>BAD</v>
      </c>
      <c r="S690">
        <f t="shared" si="52"/>
        <v>0</v>
      </c>
      <c r="T690">
        <f t="shared" si="53"/>
        <v>1</v>
      </c>
      <c r="U690" t="str">
        <f t="shared" si="54"/>
        <v>REVIEW_RETURN</v>
      </c>
    </row>
    <row r="691" spans="1:21">
      <c r="A691" t="s">
        <v>703</v>
      </c>
      <c r="B691" t="s">
        <v>4476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4961</v>
      </c>
      <c r="M691" t="s">
        <v>4281</v>
      </c>
      <c r="N691">
        <v>889.68</v>
      </c>
      <c r="O691" t="str">
        <f>IF((Sheet1[[#This Row],[Quantity]]*Sheet1[[#This Row],[UnitPrice]])=(Sheet1[[#This Row],[TotalPrice]]), "True", "False")</f>
        <v>True</v>
      </c>
      <c r="P691" t="str">
        <f>IF((Sheet1[[#This Row],[ItemsInCart]]&gt;=Sheet1[[#This Row],[Quantity]]), "Good", "Bad")</f>
        <v>Good</v>
      </c>
      <c r="Q691" t="str">
        <f t="shared" si="50"/>
        <v>OK</v>
      </c>
      <c r="R691" t="str">
        <f t="shared" si="51"/>
        <v>GOOD</v>
      </c>
      <c r="S691">
        <f t="shared" si="52"/>
        <v>0</v>
      </c>
      <c r="T691">
        <f t="shared" si="53"/>
        <v>0</v>
      </c>
      <c r="U691" t="str">
        <f t="shared" si="54"/>
        <v>OK</v>
      </c>
    </row>
    <row r="692" spans="1:21">
      <c r="A692" t="s">
        <v>704</v>
      </c>
      <c r="B692" t="s">
        <v>4777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4961</v>
      </c>
      <c r="M692" t="s">
        <v>4278</v>
      </c>
      <c r="N692">
        <v>24.48</v>
      </c>
      <c r="O692" t="str">
        <f>IF((Sheet1[[#This Row],[Quantity]]*Sheet1[[#This Row],[UnitPrice]])=(Sheet1[[#This Row],[TotalPrice]]), "True", "False")</f>
        <v>True</v>
      </c>
      <c r="P692" t="str">
        <f>IF((Sheet1[[#This Row],[ItemsInCart]]&gt;=Sheet1[[#This Row],[Quantity]]), "Good", "Bad")</f>
        <v>Good</v>
      </c>
      <c r="Q692" t="str">
        <f t="shared" si="50"/>
        <v>OK</v>
      </c>
      <c r="R692" t="str">
        <f t="shared" si="51"/>
        <v>GOOD</v>
      </c>
      <c r="S692">
        <f t="shared" si="52"/>
        <v>0</v>
      </c>
      <c r="T692">
        <f t="shared" si="53"/>
        <v>0</v>
      </c>
      <c r="U692" t="str">
        <f t="shared" si="54"/>
        <v>OK</v>
      </c>
    </row>
    <row r="693" spans="1:21">
      <c r="A693" t="s">
        <v>705</v>
      </c>
      <c r="B693" t="s">
        <v>4450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4961</v>
      </c>
      <c r="M693" t="s">
        <v>4282</v>
      </c>
      <c r="N693">
        <v>717.24</v>
      </c>
      <c r="O693" t="str">
        <f>IF((Sheet1[[#This Row],[Quantity]]*Sheet1[[#This Row],[UnitPrice]])=(Sheet1[[#This Row],[TotalPrice]]), "True", "False")</f>
        <v>True</v>
      </c>
      <c r="P693" t="str">
        <f>IF((Sheet1[[#This Row],[ItemsInCart]]&gt;=Sheet1[[#This Row],[Quantity]]), "Good", "Bad")</f>
        <v>Good</v>
      </c>
      <c r="Q693" t="str">
        <f t="shared" si="50"/>
        <v>OK</v>
      </c>
      <c r="R693" t="str">
        <f t="shared" si="51"/>
        <v>GOOD</v>
      </c>
      <c r="S693">
        <f t="shared" si="52"/>
        <v>0</v>
      </c>
      <c r="T693">
        <f t="shared" si="53"/>
        <v>0</v>
      </c>
      <c r="U693" t="str">
        <f t="shared" si="54"/>
        <v>OK</v>
      </c>
    </row>
    <row r="694" spans="1:21">
      <c r="A694" t="s">
        <v>706</v>
      </c>
      <c r="B694" t="s">
        <v>4302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 t="str">
        <f>IF((Sheet1[[#This Row],[Quantity]]*Sheet1[[#This Row],[UnitPrice]])=(Sheet1[[#This Row],[TotalPrice]]), "True", "False")</f>
        <v>True</v>
      </c>
      <c r="P694" t="str">
        <f>IF((Sheet1[[#This Row],[ItemsInCart]]&gt;=Sheet1[[#This Row],[Quantity]]), "Good", "Bad")</f>
        <v>Good</v>
      </c>
      <c r="Q694" t="str">
        <f t="shared" si="50"/>
        <v>OK</v>
      </c>
      <c r="R694" t="str">
        <f t="shared" si="51"/>
        <v>GOOD</v>
      </c>
      <c r="S694">
        <f t="shared" si="52"/>
        <v>0</v>
      </c>
      <c r="T694">
        <f t="shared" si="53"/>
        <v>0</v>
      </c>
      <c r="U694" t="str">
        <f t="shared" si="54"/>
        <v>OK</v>
      </c>
    </row>
    <row r="695" spans="1:21">
      <c r="A695" t="s">
        <v>707</v>
      </c>
      <c r="B695" t="s">
        <v>4778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4961</v>
      </c>
      <c r="M695" t="s">
        <v>4279</v>
      </c>
      <c r="N695">
        <v>176.58</v>
      </c>
      <c r="O695" t="str">
        <f>IF((Sheet1[[#This Row],[Quantity]]*Sheet1[[#This Row],[UnitPrice]])=(Sheet1[[#This Row],[TotalPrice]]), "True", "False")</f>
        <v>True</v>
      </c>
      <c r="P695" t="str">
        <f>IF((Sheet1[[#This Row],[ItemsInCart]]&gt;=Sheet1[[#This Row],[Quantity]]), "Good", "Bad")</f>
        <v>Good</v>
      </c>
      <c r="Q695" t="str">
        <f t="shared" si="50"/>
        <v>OK</v>
      </c>
      <c r="R695" t="str">
        <f t="shared" si="51"/>
        <v>GOOD</v>
      </c>
      <c r="S695">
        <f t="shared" si="52"/>
        <v>0</v>
      </c>
      <c r="T695">
        <f t="shared" si="53"/>
        <v>0</v>
      </c>
      <c r="U695" t="str">
        <f t="shared" si="54"/>
        <v>OK</v>
      </c>
    </row>
    <row r="696" spans="1:21">
      <c r="A696" t="s">
        <v>708</v>
      </c>
      <c r="B696" t="s">
        <v>4559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 t="str">
        <f>IF((Sheet1[[#This Row],[Quantity]]*Sheet1[[#This Row],[UnitPrice]])=(Sheet1[[#This Row],[TotalPrice]]), "True", "False")</f>
        <v>True</v>
      </c>
      <c r="P696" t="str">
        <f>IF((Sheet1[[#This Row],[ItemsInCart]]&gt;=Sheet1[[#This Row],[Quantity]]), "Good", "Bad")</f>
        <v>Good</v>
      </c>
      <c r="Q696" t="str">
        <f t="shared" si="50"/>
        <v>OK</v>
      </c>
      <c r="R696" t="str">
        <f t="shared" si="51"/>
        <v>GOOD</v>
      </c>
      <c r="S696">
        <f t="shared" si="52"/>
        <v>0</v>
      </c>
      <c r="T696">
        <f t="shared" si="53"/>
        <v>0</v>
      </c>
      <c r="U696" t="str">
        <f t="shared" si="54"/>
        <v>OK</v>
      </c>
    </row>
    <row r="697" spans="1:21">
      <c r="A697" t="s">
        <v>709</v>
      </c>
      <c r="B697" t="s">
        <v>4715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 t="str">
        <f>IF((Sheet1[[#This Row],[Quantity]]*Sheet1[[#This Row],[UnitPrice]])=(Sheet1[[#This Row],[TotalPrice]]), "True", "False")</f>
        <v>True</v>
      </c>
      <c r="P697" t="str">
        <f>IF((Sheet1[[#This Row],[ItemsInCart]]&gt;=Sheet1[[#This Row],[Quantity]]), "Good", "Bad")</f>
        <v>Good</v>
      </c>
      <c r="Q697" t="str">
        <f t="shared" si="50"/>
        <v>OK</v>
      </c>
      <c r="R697" t="str">
        <f t="shared" si="51"/>
        <v>GOOD</v>
      </c>
      <c r="S697">
        <f t="shared" si="52"/>
        <v>0</v>
      </c>
      <c r="T697">
        <f t="shared" si="53"/>
        <v>0</v>
      </c>
      <c r="U697" t="str">
        <f t="shared" si="54"/>
        <v>OK</v>
      </c>
    </row>
    <row r="698" spans="1:21">
      <c r="A698" t="s">
        <v>710</v>
      </c>
      <c r="B698" t="s">
        <v>4509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 t="str">
        <f>IF((Sheet1[[#This Row],[Quantity]]*Sheet1[[#This Row],[UnitPrice]])=(Sheet1[[#This Row],[TotalPrice]]), "True", "False")</f>
        <v>True</v>
      </c>
      <c r="P698" t="str">
        <f>IF((Sheet1[[#This Row],[ItemsInCart]]&gt;=Sheet1[[#This Row],[Quantity]]), "Good", "Bad")</f>
        <v>Good</v>
      </c>
      <c r="Q698" t="str">
        <f t="shared" si="50"/>
        <v>OK</v>
      </c>
      <c r="R698" t="str">
        <f t="shared" si="51"/>
        <v>BAD</v>
      </c>
      <c r="S698">
        <f t="shared" si="52"/>
        <v>0</v>
      </c>
      <c r="T698">
        <f t="shared" si="53"/>
        <v>1</v>
      </c>
      <c r="U698" t="str">
        <f t="shared" si="54"/>
        <v>DOCUMENTED</v>
      </c>
    </row>
    <row r="699" spans="1:21">
      <c r="A699" t="s">
        <v>711</v>
      </c>
      <c r="B699" t="s">
        <v>4779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 t="str">
        <f>IF((Sheet1[[#This Row],[Quantity]]*Sheet1[[#This Row],[UnitPrice]])=(Sheet1[[#This Row],[TotalPrice]]), "True", "False")</f>
        <v>True</v>
      </c>
      <c r="P699" t="str">
        <f>IF((Sheet1[[#This Row],[ItemsInCart]]&gt;=Sheet1[[#This Row],[Quantity]]), "Good", "Bad")</f>
        <v>Good</v>
      </c>
      <c r="Q699" t="str">
        <f t="shared" si="50"/>
        <v>OK</v>
      </c>
      <c r="R699" t="str">
        <f t="shared" si="51"/>
        <v>GOOD</v>
      </c>
      <c r="S699">
        <f t="shared" si="52"/>
        <v>0</v>
      </c>
      <c r="T699">
        <f t="shared" si="53"/>
        <v>0</v>
      </c>
      <c r="U699" t="str">
        <f t="shared" si="54"/>
        <v>OK</v>
      </c>
    </row>
    <row r="700" spans="1:21">
      <c r="A700" t="s">
        <v>712</v>
      </c>
      <c r="B700" t="s">
        <v>4283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 t="str">
        <f>IF((Sheet1[[#This Row],[Quantity]]*Sheet1[[#This Row],[UnitPrice]])=(Sheet1[[#This Row],[TotalPrice]]), "True", "False")</f>
        <v>True</v>
      </c>
      <c r="P700" t="str">
        <f>IF((Sheet1[[#This Row],[ItemsInCart]]&gt;=Sheet1[[#This Row],[Quantity]]), "Good", "Bad")</f>
        <v>Good</v>
      </c>
      <c r="Q700" t="str">
        <f t="shared" si="50"/>
        <v>OK</v>
      </c>
      <c r="R700" t="str">
        <f t="shared" si="51"/>
        <v>GOOD</v>
      </c>
      <c r="S700">
        <f t="shared" si="52"/>
        <v>0</v>
      </c>
      <c r="T700">
        <f t="shared" si="53"/>
        <v>0</v>
      </c>
      <c r="U700" t="str">
        <f t="shared" si="54"/>
        <v>OK</v>
      </c>
    </row>
    <row r="701" spans="1:21">
      <c r="A701" t="s">
        <v>713</v>
      </c>
      <c r="B701" t="s">
        <v>4780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4961</v>
      </c>
      <c r="M701" t="s">
        <v>4281</v>
      </c>
      <c r="N701">
        <v>1842.45</v>
      </c>
      <c r="O701" t="str">
        <f>IF((Sheet1[[#This Row],[Quantity]]*Sheet1[[#This Row],[UnitPrice]])=(Sheet1[[#This Row],[TotalPrice]]), "True", "False")</f>
        <v>True</v>
      </c>
      <c r="P701" t="str">
        <f>IF((Sheet1[[#This Row],[ItemsInCart]]&gt;=Sheet1[[#This Row],[Quantity]]), "Good", "Bad")</f>
        <v>Good</v>
      </c>
      <c r="Q701" t="str">
        <f t="shared" si="50"/>
        <v>OK</v>
      </c>
      <c r="R701" t="str">
        <f t="shared" si="51"/>
        <v>BAD</v>
      </c>
      <c r="S701">
        <f t="shared" si="52"/>
        <v>0</v>
      </c>
      <c r="T701">
        <f t="shared" si="53"/>
        <v>1</v>
      </c>
      <c r="U701" t="str">
        <f t="shared" si="54"/>
        <v>REVIEW_RETURN</v>
      </c>
    </row>
    <row r="702" spans="1:21">
      <c r="A702" t="s">
        <v>714</v>
      </c>
      <c r="B702" t="s">
        <v>4781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 t="str">
        <f>IF((Sheet1[[#This Row],[Quantity]]*Sheet1[[#This Row],[UnitPrice]])=(Sheet1[[#This Row],[TotalPrice]]), "True", "False")</f>
        <v>True</v>
      </c>
      <c r="P702" t="str">
        <f>IF((Sheet1[[#This Row],[ItemsInCart]]&gt;=Sheet1[[#This Row],[Quantity]]), "Good", "Bad")</f>
        <v>Good</v>
      </c>
      <c r="Q702" t="str">
        <f t="shared" si="50"/>
        <v>OK</v>
      </c>
      <c r="R702" t="str">
        <f t="shared" si="51"/>
        <v>GOOD</v>
      </c>
      <c r="S702">
        <f t="shared" si="52"/>
        <v>0</v>
      </c>
      <c r="T702">
        <f t="shared" si="53"/>
        <v>0</v>
      </c>
      <c r="U702" t="str">
        <f t="shared" si="54"/>
        <v>OK</v>
      </c>
    </row>
    <row r="703" spans="1:21">
      <c r="A703" t="s">
        <v>715</v>
      </c>
      <c r="B703" t="s">
        <v>4782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 t="str">
        <f>IF((Sheet1[[#This Row],[Quantity]]*Sheet1[[#This Row],[UnitPrice]])=(Sheet1[[#This Row],[TotalPrice]]), "True", "False")</f>
        <v>True</v>
      </c>
      <c r="P703" t="str">
        <f>IF((Sheet1[[#This Row],[ItemsInCart]]&gt;=Sheet1[[#This Row],[Quantity]]), "Good", "Bad")</f>
        <v>Good</v>
      </c>
      <c r="Q703" t="str">
        <f t="shared" si="50"/>
        <v>OK</v>
      </c>
      <c r="R703" t="str">
        <f t="shared" si="51"/>
        <v>GOOD</v>
      </c>
      <c r="S703">
        <f t="shared" si="52"/>
        <v>0</v>
      </c>
      <c r="T703">
        <f t="shared" si="53"/>
        <v>0</v>
      </c>
      <c r="U703" t="str">
        <f t="shared" si="54"/>
        <v>OK</v>
      </c>
    </row>
    <row r="704" spans="1:21">
      <c r="A704" t="s">
        <v>716</v>
      </c>
      <c r="B704" t="s">
        <v>4693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4961</v>
      </c>
      <c r="M704" t="s">
        <v>4280</v>
      </c>
      <c r="N704">
        <v>1687.65</v>
      </c>
      <c r="O704" t="str">
        <f>IF((Sheet1[[#This Row],[Quantity]]*Sheet1[[#This Row],[UnitPrice]])=(Sheet1[[#This Row],[TotalPrice]]), "True", "False")</f>
        <v>True</v>
      </c>
      <c r="P704" t="str">
        <f>IF((Sheet1[[#This Row],[ItemsInCart]]&gt;=Sheet1[[#This Row],[Quantity]]), "Good", "Bad")</f>
        <v>Good</v>
      </c>
      <c r="Q704" t="str">
        <f t="shared" si="50"/>
        <v>OK</v>
      </c>
      <c r="R704" t="str">
        <f t="shared" si="51"/>
        <v>GOOD</v>
      </c>
      <c r="S704">
        <f t="shared" si="52"/>
        <v>0</v>
      </c>
      <c r="T704">
        <f t="shared" si="53"/>
        <v>0</v>
      </c>
      <c r="U704" t="str">
        <f t="shared" si="54"/>
        <v>OK</v>
      </c>
    </row>
    <row r="705" spans="1:21">
      <c r="A705" t="s">
        <v>717</v>
      </c>
      <c r="B705" t="s">
        <v>4783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 t="str">
        <f>IF((Sheet1[[#This Row],[Quantity]]*Sheet1[[#This Row],[UnitPrice]])=(Sheet1[[#This Row],[TotalPrice]]), "True", "False")</f>
        <v>True</v>
      </c>
      <c r="P705" t="str">
        <f>IF((Sheet1[[#This Row],[ItemsInCart]]&gt;=Sheet1[[#This Row],[Quantity]]), "Good", "Bad")</f>
        <v>Good</v>
      </c>
      <c r="Q705" t="str">
        <f t="shared" si="50"/>
        <v>OK</v>
      </c>
      <c r="R705" t="str">
        <f t="shared" si="51"/>
        <v>BAD</v>
      </c>
      <c r="S705">
        <f t="shared" si="52"/>
        <v>0</v>
      </c>
      <c r="T705">
        <f t="shared" si="53"/>
        <v>1</v>
      </c>
      <c r="U705" t="str">
        <f t="shared" si="54"/>
        <v>DOCUMENTED</v>
      </c>
    </row>
    <row r="706" spans="1:21">
      <c r="A706" t="s">
        <v>718</v>
      </c>
      <c r="B706" t="s">
        <v>4584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 t="str">
        <f>IF((Sheet1[[#This Row],[Quantity]]*Sheet1[[#This Row],[UnitPrice]])=(Sheet1[[#This Row],[TotalPrice]]), "True", "False")</f>
        <v>True</v>
      </c>
      <c r="P706" t="str">
        <f>IF((Sheet1[[#This Row],[ItemsInCart]]&gt;=Sheet1[[#This Row],[Quantity]]), "Good", "Bad")</f>
        <v>Good</v>
      </c>
      <c r="Q706" t="str">
        <f t="shared" ref="Q706:Q769" si="55">IF(AND(E706&gt;0, F706&gt;0,N706&gt;0),"OK","INVALID")</f>
        <v>OK</v>
      </c>
      <c r="R706" t="str">
        <f t="shared" ref="R706:R769" si="56">IF(OR(AND(OR(I706="Shipped",I706="Delivered",I706="Returned"),J706=""),AND(OR(I706="Processing",I706="Pending",I706="Cancelled"),J706&lt;&gt;"")),"BAD","GOOD")</f>
        <v>GOOD</v>
      </c>
      <c r="S706">
        <f t="shared" ref="S706:S769" si="57">IF(AND(OR(I706="Shipped",I706="Delivered",I706="Returned"),J706=""),1,0)</f>
        <v>0</v>
      </c>
      <c r="T706">
        <f t="shared" ref="T706:T769" si="58">IF(AND(OR(I706="Processing",I706="Pending",I706="Cancelled"),J706&lt;&gt;""),1,0)</f>
        <v>0</v>
      </c>
      <c r="U706" t="str">
        <f t="shared" ref="U706:U769" si="59">IF(AND(OR(I706="Shipped",I706="Delivered"),J706=""),"MISSING_TRACKING", IF(AND(OR(I706="Processing",I706="Pending"),J706&lt;&gt;""),"DOCUMENTED", IF(AND(I706="Cancelled",J706&lt;&gt;""), "REVIEW_RETURN", "OK")))</f>
        <v>OK</v>
      </c>
    </row>
    <row r="707" spans="1:21">
      <c r="A707" t="s">
        <v>719</v>
      </c>
      <c r="B707" t="s">
        <v>4784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 t="str">
        <f>IF((Sheet1[[#This Row],[Quantity]]*Sheet1[[#This Row],[UnitPrice]])=(Sheet1[[#This Row],[TotalPrice]]), "True", "False")</f>
        <v>True</v>
      </c>
      <c r="P707" t="str">
        <f>IF((Sheet1[[#This Row],[ItemsInCart]]&gt;=Sheet1[[#This Row],[Quantity]]), "Good", "Bad")</f>
        <v>Good</v>
      </c>
      <c r="Q707" t="str">
        <f t="shared" si="55"/>
        <v>OK</v>
      </c>
      <c r="R707" t="str">
        <f t="shared" si="56"/>
        <v>GOOD</v>
      </c>
      <c r="S707">
        <f t="shared" si="57"/>
        <v>0</v>
      </c>
      <c r="T707">
        <f t="shared" si="58"/>
        <v>0</v>
      </c>
      <c r="U707" t="str">
        <f t="shared" si="59"/>
        <v>OK</v>
      </c>
    </row>
    <row r="708" spans="1:21">
      <c r="A708" t="s">
        <v>720</v>
      </c>
      <c r="B708" t="s">
        <v>4663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 t="str">
        <f>IF((Sheet1[[#This Row],[Quantity]]*Sheet1[[#This Row],[UnitPrice]])=(Sheet1[[#This Row],[TotalPrice]]), "True", "False")</f>
        <v>True</v>
      </c>
      <c r="P708" t="str">
        <f>IF((Sheet1[[#This Row],[ItemsInCart]]&gt;=Sheet1[[#This Row],[Quantity]]), "Good", "Bad")</f>
        <v>Good</v>
      </c>
      <c r="Q708" t="str">
        <f t="shared" si="55"/>
        <v>OK</v>
      </c>
      <c r="R708" t="str">
        <f t="shared" si="56"/>
        <v>GOOD</v>
      </c>
      <c r="S708">
        <f t="shared" si="57"/>
        <v>0</v>
      </c>
      <c r="T708">
        <f t="shared" si="58"/>
        <v>0</v>
      </c>
      <c r="U708" t="str">
        <f t="shared" si="59"/>
        <v>OK</v>
      </c>
    </row>
    <row r="709" spans="1:21">
      <c r="A709" t="s">
        <v>721</v>
      </c>
      <c r="B709" t="s">
        <v>4660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 t="str">
        <f>IF((Sheet1[[#This Row],[Quantity]]*Sheet1[[#This Row],[UnitPrice]])=(Sheet1[[#This Row],[TotalPrice]]), "True", "False")</f>
        <v>True</v>
      </c>
      <c r="P709" t="str">
        <f>IF((Sheet1[[#This Row],[ItemsInCart]]&gt;=Sheet1[[#This Row],[Quantity]]), "Good", "Bad")</f>
        <v>Good</v>
      </c>
      <c r="Q709" t="str">
        <f t="shared" si="55"/>
        <v>OK</v>
      </c>
      <c r="R709" t="str">
        <f t="shared" si="56"/>
        <v>BAD</v>
      </c>
      <c r="S709">
        <f t="shared" si="57"/>
        <v>0</v>
      </c>
      <c r="T709">
        <f t="shared" si="58"/>
        <v>1</v>
      </c>
      <c r="U709" t="str">
        <f t="shared" si="59"/>
        <v>REVIEW_RETURN</v>
      </c>
    </row>
    <row r="710" spans="1:21">
      <c r="A710" t="s">
        <v>722</v>
      </c>
      <c r="B710" t="s">
        <v>4438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 t="str">
        <f>IF((Sheet1[[#This Row],[Quantity]]*Sheet1[[#This Row],[UnitPrice]])=(Sheet1[[#This Row],[TotalPrice]]), "True", "False")</f>
        <v>True</v>
      </c>
      <c r="P710" t="str">
        <f>IF((Sheet1[[#This Row],[ItemsInCart]]&gt;=Sheet1[[#This Row],[Quantity]]), "Good", "Bad")</f>
        <v>Good</v>
      </c>
      <c r="Q710" t="str">
        <f t="shared" si="55"/>
        <v>OK</v>
      </c>
      <c r="R710" t="str">
        <f t="shared" si="56"/>
        <v>BAD</v>
      </c>
      <c r="S710">
        <f t="shared" si="57"/>
        <v>0</v>
      </c>
      <c r="T710">
        <f t="shared" si="58"/>
        <v>1</v>
      </c>
      <c r="U710" t="str">
        <f t="shared" si="59"/>
        <v>DOCUMENTED</v>
      </c>
    </row>
    <row r="711" spans="1:21">
      <c r="A711" t="s">
        <v>723</v>
      </c>
      <c r="B711" t="s">
        <v>4317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 t="str">
        <f>IF((Sheet1[[#This Row],[Quantity]]*Sheet1[[#This Row],[UnitPrice]])=(Sheet1[[#This Row],[TotalPrice]]), "True", "False")</f>
        <v>True</v>
      </c>
      <c r="P711" t="str">
        <f>IF((Sheet1[[#This Row],[ItemsInCart]]&gt;=Sheet1[[#This Row],[Quantity]]), "Good", "Bad")</f>
        <v>Good</v>
      </c>
      <c r="Q711" t="str">
        <f t="shared" si="55"/>
        <v>OK</v>
      </c>
      <c r="R711" t="str">
        <f t="shared" si="56"/>
        <v>BAD</v>
      </c>
      <c r="S711">
        <f t="shared" si="57"/>
        <v>0</v>
      </c>
      <c r="T711">
        <f t="shared" si="58"/>
        <v>1</v>
      </c>
      <c r="U711" t="str">
        <f t="shared" si="59"/>
        <v>DOCUMENTED</v>
      </c>
    </row>
    <row r="712" spans="1:21">
      <c r="A712" t="s">
        <v>724</v>
      </c>
      <c r="B712" t="s">
        <v>4602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4961</v>
      </c>
      <c r="M712" t="s">
        <v>4282</v>
      </c>
      <c r="N712">
        <v>107.7</v>
      </c>
      <c r="O712" t="str">
        <f>IF((Sheet1[[#This Row],[Quantity]]*Sheet1[[#This Row],[UnitPrice]])=(Sheet1[[#This Row],[TotalPrice]]), "True", "False")</f>
        <v>True</v>
      </c>
      <c r="P712" t="str">
        <f>IF((Sheet1[[#This Row],[ItemsInCart]]&gt;=Sheet1[[#This Row],[Quantity]]), "Good", "Bad")</f>
        <v>Good</v>
      </c>
      <c r="Q712" t="str">
        <f t="shared" si="55"/>
        <v>OK</v>
      </c>
      <c r="R712" t="str">
        <f t="shared" si="56"/>
        <v>GOOD</v>
      </c>
      <c r="S712">
        <f t="shared" si="57"/>
        <v>0</v>
      </c>
      <c r="T712">
        <f t="shared" si="58"/>
        <v>0</v>
      </c>
      <c r="U712" t="str">
        <f t="shared" si="59"/>
        <v>OK</v>
      </c>
    </row>
    <row r="713" spans="1:21">
      <c r="A713" t="s">
        <v>725</v>
      </c>
      <c r="B713" t="s">
        <v>4785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 t="str">
        <f>IF((Sheet1[[#This Row],[Quantity]]*Sheet1[[#This Row],[UnitPrice]])=(Sheet1[[#This Row],[TotalPrice]]), "True", "False")</f>
        <v>True</v>
      </c>
      <c r="P713" t="str">
        <f>IF((Sheet1[[#This Row],[ItemsInCart]]&gt;=Sheet1[[#This Row],[Quantity]]), "Good", "Bad")</f>
        <v>Good</v>
      </c>
      <c r="Q713" t="str">
        <f t="shared" si="55"/>
        <v>OK</v>
      </c>
      <c r="R713" t="str">
        <f t="shared" si="56"/>
        <v>GOOD</v>
      </c>
      <c r="S713">
        <f t="shared" si="57"/>
        <v>0</v>
      </c>
      <c r="T713">
        <f t="shared" si="58"/>
        <v>0</v>
      </c>
      <c r="U713" t="str">
        <f t="shared" si="59"/>
        <v>OK</v>
      </c>
    </row>
    <row r="714" spans="1:21">
      <c r="A714" t="s">
        <v>726</v>
      </c>
      <c r="B714" t="s">
        <v>4769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 t="str">
        <f>IF((Sheet1[[#This Row],[Quantity]]*Sheet1[[#This Row],[UnitPrice]])=(Sheet1[[#This Row],[TotalPrice]]), "True", "False")</f>
        <v>True</v>
      </c>
      <c r="P714" t="str">
        <f>IF((Sheet1[[#This Row],[ItemsInCart]]&gt;=Sheet1[[#This Row],[Quantity]]), "Good", "Bad")</f>
        <v>Good</v>
      </c>
      <c r="Q714" t="str">
        <f t="shared" si="55"/>
        <v>OK</v>
      </c>
      <c r="R714" t="str">
        <f t="shared" si="56"/>
        <v>BAD</v>
      </c>
      <c r="S714">
        <f t="shared" si="57"/>
        <v>0</v>
      </c>
      <c r="T714">
        <f t="shared" si="58"/>
        <v>1</v>
      </c>
      <c r="U714" t="str">
        <f t="shared" si="59"/>
        <v>DOCUMENTED</v>
      </c>
    </row>
    <row r="715" spans="1:21">
      <c r="A715" t="s">
        <v>727</v>
      </c>
      <c r="B715" t="s">
        <v>4653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 t="str">
        <f>IF((Sheet1[[#This Row],[Quantity]]*Sheet1[[#This Row],[UnitPrice]])=(Sheet1[[#This Row],[TotalPrice]]), "True", "False")</f>
        <v>True</v>
      </c>
      <c r="P715" t="str">
        <f>IF((Sheet1[[#This Row],[ItemsInCart]]&gt;=Sheet1[[#This Row],[Quantity]]), "Good", "Bad")</f>
        <v>Good</v>
      </c>
      <c r="Q715" t="str">
        <f t="shared" si="55"/>
        <v>OK</v>
      </c>
      <c r="R715" t="str">
        <f t="shared" si="56"/>
        <v>BAD</v>
      </c>
      <c r="S715">
        <f t="shared" si="57"/>
        <v>0</v>
      </c>
      <c r="T715">
        <f t="shared" si="58"/>
        <v>1</v>
      </c>
      <c r="U715" t="str">
        <f t="shared" si="59"/>
        <v>REVIEW_RETURN</v>
      </c>
    </row>
    <row r="716" spans="1:21">
      <c r="A716" t="s">
        <v>728</v>
      </c>
      <c r="B716" t="s">
        <v>4736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 t="str">
        <f>IF((Sheet1[[#This Row],[Quantity]]*Sheet1[[#This Row],[UnitPrice]])=(Sheet1[[#This Row],[TotalPrice]]), "True", "False")</f>
        <v>True</v>
      </c>
      <c r="P716" t="str">
        <f>IF((Sheet1[[#This Row],[ItemsInCart]]&gt;=Sheet1[[#This Row],[Quantity]]), "Good", "Bad")</f>
        <v>Good</v>
      </c>
      <c r="Q716" t="str">
        <f t="shared" si="55"/>
        <v>OK</v>
      </c>
      <c r="R716" t="str">
        <f t="shared" si="56"/>
        <v>BAD</v>
      </c>
      <c r="S716">
        <f t="shared" si="57"/>
        <v>0</v>
      </c>
      <c r="T716">
        <f t="shared" si="58"/>
        <v>1</v>
      </c>
      <c r="U716" t="str">
        <f t="shared" si="59"/>
        <v>DOCUMENTED</v>
      </c>
    </row>
    <row r="717" spans="1:21">
      <c r="A717" t="s">
        <v>729</v>
      </c>
      <c r="B717" t="s">
        <v>4786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 t="str">
        <f>IF((Sheet1[[#This Row],[Quantity]]*Sheet1[[#This Row],[UnitPrice]])=(Sheet1[[#This Row],[TotalPrice]]), "True", "False")</f>
        <v>True</v>
      </c>
      <c r="P717" t="str">
        <f>IF((Sheet1[[#This Row],[ItemsInCart]]&gt;=Sheet1[[#This Row],[Quantity]]), "Good", "Bad")</f>
        <v>Good</v>
      </c>
      <c r="Q717" t="str">
        <f t="shared" si="55"/>
        <v>OK</v>
      </c>
      <c r="R717" t="str">
        <f t="shared" si="56"/>
        <v>GOOD</v>
      </c>
      <c r="S717">
        <f t="shared" si="57"/>
        <v>0</v>
      </c>
      <c r="T717">
        <f t="shared" si="58"/>
        <v>0</v>
      </c>
      <c r="U717" t="str">
        <f t="shared" si="59"/>
        <v>OK</v>
      </c>
    </row>
    <row r="718" spans="1:21">
      <c r="A718" t="s">
        <v>730</v>
      </c>
      <c r="B718" t="s">
        <v>4419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 t="str">
        <f>IF((Sheet1[[#This Row],[Quantity]]*Sheet1[[#This Row],[UnitPrice]])=(Sheet1[[#This Row],[TotalPrice]]), "True", "False")</f>
        <v>True</v>
      </c>
      <c r="P718" t="str">
        <f>IF((Sheet1[[#This Row],[ItemsInCart]]&gt;=Sheet1[[#This Row],[Quantity]]), "Good", "Bad")</f>
        <v>Good</v>
      </c>
      <c r="Q718" t="str">
        <f t="shared" si="55"/>
        <v>OK</v>
      </c>
      <c r="R718" t="str">
        <f t="shared" si="56"/>
        <v>BAD</v>
      </c>
      <c r="S718">
        <f t="shared" si="57"/>
        <v>0</v>
      </c>
      <c r="T718">
        <f t="shared" si="58"/>
        <v>1</v>
      </c>
      <c r="U718" t="str">
        <f t="shared" si="59"/>
        <v>DOCUMENTED</v>
      </c>
    </row>
    <row r="719" spans="1:21">
      <c r="A719" t="s">
        <v>731</v>
      </c>
      <c r="B719" t="s">
        <v>4787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 t="str">
        <f>IF((Sheet1[[#This Row],[Quantity]]*Sheet1[[#This Row],[UnitPrice]])=(Sheet1[[#This Row],[TotalPrice]]), "True", "False")</f>
        <v>True</v>
      </c>
      <c r="P719" t="str">
        <f>IF((Sheet1[[#This Row],[ItemsInCart]]&gt;=Sheet1[[#This Row],[Quantity]]), "Good", "Bad")</f>
        <v>Good</v>
      </c>
      <c r="Q719" t="str">
        <f t="shared" si="55"/>
        <v>OK</v>
      </c>
      <c r="R719" t="str">
        <f t="shared" si="56"/>
        <v>GOOD</v>
      </c>
      <c r="S719">
        <f t="shared" si="57"/>
        <v>0</v>
      </c>
      <c r="T719">
        <f t="shared" si="58"/>
        <v>0</v>
      </c>
      <c r="U719" t="str">
        <f t="shared" si="59"/>
        <v>OK</v>
      </c>
    </row>
    <row r="720" spans="1:21">
      <c r="A720" t="s">
        <v>732</v>
      </c>
      <c r="B720" t="s">
        <v>4788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 t="str">
        <f>IF((Sheet1[[#This Row],[Quantity]]*Sheet1[[#This Row],[UnitPrice]])=(Sheet1[[#This Row],[TotalPrice]]), "True", "False")</f>
        <v>True</v>
      </c>
      <c r="P720" t="str">
        <f>IF((Sheet1[[#This Row],[ItemsInCart]]&gt;=Sheet1[[#This Row],[Quantity]]), "Good", "Bad")</f>
        <v>Good</v>
      </c>
      <c r="Q720" t="str">
        <f t="shared" si="55"/>
        <v>OK</v>
      </c>
      <c r="R720" t="str">
        <f t="shared" si="56"/>
        <v>BAD</v>
      </c>
      <c r="S720">
        <f t="shared" si="57"/>
        <v>0</v>
      </c>
      <c r="T720">
        <f t="shared" si="58"/>
        <v>1</v>
      </c>
      <c r="U720" t="str">
        <f t="shared" si="59"/>
        <v>REVIEW_RETURN</v>
      </c>
    </row>
    <row r="721" spans="1:21">
      <c r="A721" t="s">
        <v>733</v>
      </c>
      <c r="B721" t="s">
        <v>4789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 t="str">
        <f>IF((Sheet1[[#This Row],[Quantity]]*Sheet1[[#This Row],[UnitPrice]])=(Sheet1[[#This Row],[TotalPrice]]), "True", "False")</f>
        <v>True</v>
      </c>
      <c r="P721" t="str">
        <f>IF((Sheet1[[#This Row],[ItemsInCart]]&gt;=Sheet1[[#This Row],[Quantity]]), "Good", "Bad")</f>
        <v>Good</v>
      </c>
      <c r="Q721" t="str">
        <f t="shared" si="55"/>
        <v>OK</v>
      </c>
      <c r="R721" t="str">
        <f t="shared" si="56"/>
        <v>GOOD</v>
      </c>
      <c r="S721">
        <f t="shared" si="57"/>
        <v>0</v>
      </c>
      <c r="T721">
        <f t="shared" si="58"/>
        <v>0</v>
      </c>
      <c r="U721" t="str">
        <f t="shared" si="59"/>
        <v>OK</v>
      </c>
    </row>
    <row r="722" spans="1:21">
      <c r="A722" t="s">
        <v>734</v>
      </c>
      <c r="B722" t="s">
        <v>4790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 t="str">
        <f>IF((Sheet1[[#This Row],[Quantity]]*Sheet1[[#This Row],[UnitPrice]])=(Sheet1[[#This Row],[TotalPrice]]), "True", "False")</f>
        <v>True</v>
      </c>
      <c r="P722" t="str">
        <f>IF((Sheet1[[#This Row],[ItemsInCart]]&gt;=Sheet1[[#This Row],[Quantity]]), "Good", "Bad")</f>
        <v>Good</v>
      </c>
      <c r="Q722" t="str">
        <f t="shared" si="55"/>
        <v>OK</v>
      </c>
      <c r="R722" t="str">
        <f t="shared" si="56"/>
        <v>BAD</v>
      </c>
      <c r="S722">
        <f t="shared" si="57"/>
        <v>0</v>
      </c>
      <c r="T722">
        <f t="shared" si="58"/>
        <v>1</v>
      </c>
      <c r="U722" t="str">
        <f t="shared" si="59"/>
        <v>DOCUMENTED</v>
      </c>
    </row>
    <row r="723" spans="1:21">
      <c r="A723" t="s">
        <v>735</v>
      </c>
      <c r="B723" t="s">
        <v>4791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4961</v>
      </c>
      <c r="M723" t="s">
        <v>4280</v>
      </c>
      <c r="N723">
        <v>237.18</v>
      </c>
      <c r="O723" t="str">
        <f>IF((Sheet1[[#This Row],[Quantity]]*Sheet1[[#This Row],[UnitPrice]])=(Sheet1[[#This Row],[TotalPrice]]), "True", "False")</f>
        <v>True</v>
      </c>
      <c r="P723" t="str">
        <f>IF((Sheet1[[#This Row],[ItemsInCart]]&gt;=Sheet1[[#This Row],[Quantity]]), "Good", "Bad")</f>
        <v>Good</v>
      </c>
      <c r="Q723" t="str">
        <f t="shared" si="55"/>
        <v>OK</v>
      </c>
      <c r="R723" t="str">
        <f t="shared" si="56"/>
        <v>GOOD</v>
      </c>
      <c r="S723">
        <f t="shared" si="57"/>
        <v>0</v>
      </c>
      <c r="T723">
        <f t="shared" si="58"/>
        <v>0</v>
      </c>
      <c r="U723" t="str">
        <f t="shared" si="59"/>
        <v>OK</v>
      </c>
    </row>
    <row r="724" spans="1:21">
      <c r="A724" t="s">
        <v>736</v>
      </c>
      <c r="B724" t="s">
        <v>4347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 t="str">
        <f>IF((Sheet1[[#This Row],[Quantity]]*Sheet1[[#This Row],[UnitPrice]])=(Sheet1[[#This Row],[TotalPrice]]), "True", "False")</f>
        <v>True</v>
      </c>
      <c r="P724" t="str">
        <f>IF((Sheet1[[#This Row],[ItemsInCart]]&gt;=Sheet1[[#This Row],[Quantity]]), "Good", "Bad")</f>
        <v>Good</v>
      </c>
      <c r="Q724" t="str">
        <f t="shared" si="55"/>
        <v>OK</v>
      </c>
      <c r="R724" t="str">
        <f t="shared" si="56"/>
        <v>BAD</v>
      </c>
      <c r="S724">
        <f t="shared" si="57"/>
        <v>0</v>
      </c>
      <c r="T724">
        <f t="shared" si="58"/>
        <v>1</v>
      </c>
      <c r="U724" t="str">
        <f t="shared" si="59"/>
        <v>DOCUMENTED</v>
      </c>
    </row>
    <row r="725" spans="1:21">
      <c r="A725" t="s">
        <v>737</v>
      </c>
      <c r="B725" t="s">
        <v>4792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 t="str">
        <f>IF((Sheet1[[#This Row],[Quantity]]*Sheet1[[#This Row],[UnitPrice]])=(Sheet1[[#This Row],[TotalPrice]]), "True", "False")</f>
        <v>True</v>
      </c>
      <c r="P725" t="str">
        <f>IF((Sheet1[[#This Row],[ItemsInCart]]&gt;=Sheet1[[#This Row],[Quantity]]), "Good", "Bad")</f>
        <v>Good</v>
      </c>
      <c r="Q725" t="str">
        <f t="shared" si="55"/>
        <v>OK</v>
      </c>
      <c r="R725" t="str">
        <f t="shared" si="56"/>
        <v>GOOD</v>
      </c>
      <c r="S725">
        <f t="shared" si="57"/>
        <v>0</v>
      </c>
      <c r="T725">
        <f t="shared" si="58"/>
        <v>0</v>
      </c>
      <c r="U725" t="str">
        <f t="shared" si="59"/>
        <v>OK</v>
      </c>
    </row>
    <row r="726" spans="1:21">
      <c r="A726" t="s">
        <v>738</v>
      </c>
      <c r="B726" t="s">
        <v>4549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 t="str">
        <f>IF((Sheet1[[#This Row],[Quantity]]*Sheet1[[#This Row],[UnitPrice]])=(Sheet1[[#This Row],[TotalPrice]]), "True", "False")</f>
        <v>True</v>
      </c>
      <c r="P726" t="str">
        <f>IF((Sheet1[[#This Row],[ItemsInCart]]&gt;=Sheet1[[#This Row],[Quantity]]), "Good", "Bad")</f>
        <v>Good</v>
      </c>
      <c r="Q726" t="str">
        <f t="shared" si="55"/>
        <v>OK</v>
      </c>
      <c r="R726" t="str">
        <f t="shared" si="56"/>
        <v>GOOD</v>
      </c>
      <c r="S726">
        <f t="shared" si="57"/>
        <v>0</v>
      </c>
      <c r="T726">
        <f t="shared" si="58"/>
        <v>0</v>
      </c>
      <c r="U726" t="str">
        <f t="shared" si="59"/>
        <v>OK</v>
      </c>
    </row>
    <row r="727" spans="1:21">
      <c r="A727" t="s">
        <v>739</v>
      </c>
      <c r="B727" t="s">
        <v>4538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4961</v>
      </c>
      <c r="M727" t="s">
        <v>4279</v>
      </c>
      <c r="N727">
        <v>389.7</v>
      </c>
      <c r="O727" t="str">
        <f>IF((Sheet1[[#This Row],[Quantity]]*Sheet1[[#This Row],[UnitPrice]])=(Sheet1[[#This Row],[TotalPrice]]), "True", "False")</f>
        <v>True</v>
      </c>
      <c r="P727" t="str">
        <f>IF((Sheet1[[#This Row],[ItemsInCart]]&gt;=Sheet1[[#This Row],[Quantity]]), "Good", "Bad")</f>
        <v>Good</v>
      </c>
      <c r="Q727" t="str">
        <f t="shared" si="55"/>
        <v>OK</v>
      </c>
      <c r="R727" t="str">
        <f t="shared" si="56"/>
        <v>GOOD</v>
      </c>
      <c r="S727">
        <f t="shared" si="57"/>
        <v>0</v>
      </c>
      <c r="T727">
        <f t="shared" si="58"/>
        <v>0</v>
      </c>
      <c r="U727" t="str">
        <f t="shared" si="59"/>
        <v>OK</v>
      </c>
    </row>
    <row r="728" spans="1:21">
      <c r="A728" t="s">
        <v>740</v>
      </c>
      <c r="B728" t="s">
        <v>4793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 t="str">
        <f>IF((Sheet1[[#This Row],[Quantity]]*Sheet1[[#This Row],[UnitPrice]])=(Sheet1[[#This Row],[TotalPrice]]), "True", "False")</f>
        <v>True</v>
      </c>
      <c r="P728" t="str">
        <f>IF((Sheet1[[#This Row],[ItemsInCart]]&gt;=Sheet1[[#This Row],[Quantity]]), "Good", "Bad")</f>
        <v>Good</v>
      </c>
      <c r="Q728" t="str">
        <f t="shared" si="55"/>
        <v>OK</v>
      </c>
      <c r="R728" t="str">
        <f t="shared" si="56"/>
        <v>GOOD</v>
      </c>
      <c r="S728">
        <f t="shared" si="57"/>
        <v>0</v>
      </c>
      <c r="T728">
        <f t="shared" si="58"/>
        <v>0</v>
      </c>
      <c r="U728" t="str">
        <f t="shared" si="59"/>
        <v>OK</v>
      </c>
    </row>
    <row r="729" spans="1:21">
      <c r="A729" t="s">
        <v>741</v>
      </c>
      <c r="B729" t="s">
        <v>4753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 t="str">
        <f>IF((Sheet1[[#This Row],[Quantity]]*Sheet1[[#This Row],[UnitPrice]])=(Sheet1[[#This Row],[TotalPrice]]), "True", "False")</f>
        <v>True</v>
      </c>
      <c r="P729" t="str">
        <f>IF((Sheet1[[#This Row],[ItemsInCart]]&gt;=Sheet1[[#This Row],[Quantity]]), "Good", "Bad")</f>
        <v>Good</v>
      </c>
      <c r="Q729" t="str">
        <f t="shared" si="55"/>
        <v>OK</v>
      </c>
      <c r="R729" t="str">
        <f t="shared" si="56"/>
        <v>GOOD</v>
      </c>
      <c r="S729">
        <f t="shared" si="57"/>
        <v>0</v>
      </c>
      <c r="T729">
        <f t="shared" si="58"/>
        <v>0</v>
      </c>
      <c r="U729" t="str">
        <f t="shared" si="59"/>
        <v>OK</v>
      </c>
    </row>
    <row r="730" spans="1:21">
      <c r="A730" t="s">
        <v>742</v>
      </c>
      <c r="B730" t="s">
        <v>4794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 t="str">
        <f>IF((Sheet1[[#This Row],[Quantity]]*Sheet1[[#This Row],[UnitPrice]])=(Sheet1[[#This Row],[TotalPrice]]), "True", "False")</f>
        <v>True</v>
      </c>
      <c r="P730" t="str">
        <f>IF((Sheet1[[#This Row],[ItemsInCart]]&gt;=Sheet1[[#This Row],[Quantity]]), "Good", "Bad")</f>
        <v>Good</v>
      </c>
      <c r="Q730" t="str">
        <f t="shared" si="55"/>
        <v>OK</v>
      </c>
      <c r="R730" t="str">
        <f t="shared" si="56"/>
        <v>GOOD</v>
      </c>
      <c r="S730">
        <f t="shared" si="57"/>
        <v>0</v>
      </c>
      <c r="T730">
        <f t="shared" si="58"/>
        <v>0</v>
      </c>
      <c r="U730" t="str">
        <f t="shared" si="59"/>
        <v>OK</v>
      </c>
    </row>
    <row r="731" spans="1:21">
      <c r="A731" t="s">
        <v>743</v>
      </c>
      <c r="B731" t="s">
        <v>4385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 t="str">
        <f>IF((Sheet1[[#This Row],[Quantity]]*Sheet1[[#This Row],[UnitPrice]])=(Sheet1[[#This Row],[TotalPrice]]), "True", "False")</f>
        <v>True</v>
      </c>
      <c r="P731" t="str">
        <f>IF((Sheet1[[#This Row],[ItemsInCart]]&gt;=Sheet1[[#This Row],[Quantity]]), "Good", "Bad")</f>
        <v>Good</v>
      </c>
      <c r="Q731" t="str">
        <f t="shared" si="55"/>
        <v>OK</v>
      </c>
      <c r="R731" t="str">
        <f t="shared" si="56"/>
        <v>BAD</v>
      </c>
      <c r="S731">
        <f t="shared" si="57"/>
        <v>0</v>
      </c>
      <c r="T731">
        <f t="shared" si="58"/>
        <v>1</v>
      </c>
      <c r="U731" t="str">
        <f t="shared" si="59"/>
        <v>DOCUMENTED</v>
      </c>
    </row>
    <row r="732" spans="1:21">
      <c r="A732" t="s">
        <v>744</v>
      </c>
      <c r="B732" t="s">
        <v>4795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 t="str">
        <f>IF((Sheet1[[#This Row],[Quantity]]*Sheet1[[#This Row],[UnitPrice]])=(Sheet1[[#This Row],[TotalPrice]]), "True", "False")</f>
        <v>True</v>
      </c>
      <c r="P732" t="str">
        <f>IF((Sheet1[[#This Row],[ItemsInCart]]&gt;=Sheet1[[#This Row],[Quantity]]), "Good", "Bad")</f>
        <v>Good</v>
      </c>
      <c r="Q732" t="str">
        <f t="shared" si="55"/>
        <v>OK</v>
      </c>
      <c r="R732" t="str">
        <f t="shared" si="56"/>
        <v>GOOD</v>
      </c>
      <c r="S732">
        <f t="shared" si="57"/>
        <v>0</v>
      </c>
      <c r="T732">
        <f t="shared" si="58"/>
        <v>0</v>
      </c>
      <c r="U732" t="str">
        <f t="shared" si="59"/>
        <v>OK</v>
      </c>
    </row>
    <row r="733" spans="1:21">
      <c r="A733" t="s">
        <v>745</v>
      </c>
      <c r="B733" t="s">
        <v>4550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4961</v>
      </c>
      <c r="M733" t="s">
        <v>4280</v>
      </c>
      <c r="N733">
        <v>2922.3</v>
      </c>
      <c r="O733" t="str">
        <f>IF((Sheet1[[#This Row],[Quantity]]*Sheet1[[#This Row],[UnitPrice]])=(Sheet1[[#This Row],[TotalPrice]]), "True", "False")</f>
        <v>True</v>
      </c>
      <c r="P733" t="str">
        <f>IF((Sheet1[[#This Row],[ItemsInCart]]&gt;=Sheet1[[#This Row],[Quantity]]), "Good", "Bad")</f>
        <v>Good</v>
      </c>
      <c r="Q733" t="str">
        <f t="shared" si="55"/>
        <v>OK</v>
      </c>
      <c r="R733" t="str">
        <f t="shared" si="56"/>
        <v>GOOD</v>
      </c>
      <c r="S733">
        <f t="shared" si="57"/>
        <v>0</v>
      </c>
      <c r="T733">
        <f t="shared" si="58"/>
        <v>0</v>
      </c>
      <c r="U733" t="str">
        <f t="shared" si="59"/>
        <v>OK</v>
      </c>
    </row>
    <row r="734" spans="1:21">
      <c r="A734" t="s">
        <v>746</v>
      </c>
      <c r="B734" t="s">
        <v>4739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4961</v>
      </c>
      <c r="M734" t="s">
        <v>4282</v>
      </c>
      <c r="N734">
        <v>132.05000000000001</v>
      </c>
      <c r="O734" t="str">
        <f>IF((Sheet1[[#This Row],[Quantity]]*Sheet1[[#This Row],[UnitPrice]])=(Sheet1[[#This Row],[TotalPrice]]), "True", "False")</f>
        <v>True</v>
      </c>
      <c r="P734" t="str">
        <f>IF((Sheet1[[#This Row],[ItemsInCart]]&gt;=Sheet1[[#This Row],[Quantity]]), "Good", "Bad")</f>
        <v>Good</v>
      </c>
      <c r="Q734" t="str">
        <f t="shared" si="55"/>
        <v>OK</v>
      </c>
      <c r="R734" t="str">
        <f t="shared" si="56"/>
        <v>GOOD</v>
      </c>
      <c r="S734">
        <f t="shared" si="57"/>
        <v>0</v>
      </c>
      <c r="T734">
        <f t="shared" si="58"/>
        <v>0</v>
      </c>
      <c r="U734" t="str">
        <f t="shared" si="59"/>
        <v>OK</v>
      </c>
    </row>
    <row r="735" spans="1:21">
      <c r="A735" t="s">
        <v>747</v>
      </c>
      <c r="B735" t="s">
        <v>4796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 t="str">
        <f>IF((Sheet1[[#This Row],[Quantity]]*Sheet1[[#This Row],[UnitPrice]])=(Sheet1[[#This Row],[TotalPrice]]), "True", "False")</f>
        <v>True</v>
      </c>
      <c r="P735" t="str">
        <f>IF((Sheet1[[#This Row],[ItemsInCart]]&gt;=Sheet1[[#This Row],[Quantity]]), "Good", "Bad")</f>
        <v>Good</v>
      </c>
      <c r="Q735" t="str">
        <f t="shared" si="55"/>
        <v>OK</v>
      </c>
      <c r="R735" t="str">
        <f t="shared" si="56"/>
        <v>GOOD</v>
      </c>
      <c r="S735">
        <f t="shared" si="57"/>
        <v>0</v>
      </c>
      <c r="T735">
        <f t="shared" si="58"/>
        <v>0</v>
      </c>
      <c r="U735" t="str">
        <f t="shared" si="59"/>
        <v>OK</v>
      </c>
    </row>
    <row r="736" spans="1:21">
      <c r="A736" t="s">
        <v>748</v>
      </c>
      <c r="B736" t="s">
        <v>4797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 t="str">
        <f>IF((Sheet1[[#This Row],[Quantity]]*Sheet1[[#This Row],[UnitPrice]])=(Sheet1[[#This Row],[TotalPrice]]), "True", "False")</f>
        <v>True</v>
      </c>
      <c r="P736" t="str">
        <f>IF((Sheet1[[#This Row],[ItemsInCart]]&gt;=Sheet1[[#This Row],[Quantity]]), "Good", "Bad")</f>
        <v>Good</v>
      </c>
      <c r="Q736" t="str">
        <f t="shared" si="55"/>
        <v>OK</v>
      </c>
      <c r="R736" t="str">
        <f t="shared" si="56"/>
        <v>GOOD</v>
      </c>
      <c r="S736">
        <f t="shared" si="57"/>
        <v>0</v>
      </c>
      <c r="T736">
        <f t="shared" si="58"/>
        <v>0</v>
      </c>
      <c r="U736" t="str">
        <f t="shared" si="59"/>
        <v>OK</v>
      </c>
    </row>
    <row r="737" spans="1:21">
      <c r="A737" t="s">
        <v>749</v>
      </c>
      <c r="B737" t="s">
        <v>4798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4961</v>
      </c>
      <c r="M737" t="s">
        <v>4280</v>
      </c>
      <c r="N737">
        <v>176.28</v>
      </c>
      <c r="O737" t="str">
        <f>IF((Sheet1[[#This Row],[Quantity]]*Sheet1[[#This Row],[UnitPrice]])=(Sheet1[[#This Row],[TotalPrice]]), "True", "False")</f>
        <v>True</v>
      </c>
      <c r="P737" t="str">
        <f>IF((Sheet1[[#This Row],[ItemsInCart]]&gt;=Sheet1[[#This Row],[Quantity]]), "Good", "Bad")</f>
        <v>Good</v>
      </c>
      <c r="Q737" t="str">
        <f t="shared" si="55"/>
        <v>OK</v>
      </c>
      <c r="R737" t="str">
        <f t="shared" si="56"/>
        <v>BAD</v>
      </c>
      <c r="S737">
        <f t="shared" si="57"/>
        <v>0</v>
      </c>
      <c r="T737">
        <f t="shared" si="58"/>
        <v>1</v>
      </c>
      <c r="U737" t="str">
        <f t="shared" si="59"/>
        <v>DOCUMENTED</v>
      </c>
    </row>
    <row r="738" spans="1:21">
      <c r="A738" t="s">
        <v>750</v>
      </c>
      <c r="B738" t="s">
        <v>4799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 t="str">
        <f>IF((Sheet1[[#This Row],[Quantity]]*Sheet1[[#This Row],[UnitPrice]])=(Sheet1[[#This Row],[TotalPrice]]), "True", "False")</f>
        <v>True</v>
      </c>
      <c r="P738" t="str">
        <f>IF((Sheet1[[#This Row],[ItemsInCart]]&gt;=Sheet1[[#This Row],[Quantity]]), "Good", "Bad")</f>
        <v>Good</v>
      </c>
      <c r="Q738" t="str">
        <f t="shared" si="55"/>
        <v>OK</v>
      </c>
      <c r="R738" t="str">
        <f t="shared" si="56"/>
        <v>BAD</v>
      </c>
      <c r="S738">
        <f t="shared" si="57"/>
        <v>0</v>
      </c>
      <c r="T738">
        <f t="shared" si="58"/>
        <v>1</v>
      </c>
      <c r="U738" t="str">
        <f t="shared" si="59"/>
        <v>DOCUMENTED</v>
      </c>
    </row>
    <row r="739" spans="1:21">
      <c r="A739" t="s">
        <v>751</v>
      </c>
      <c r="B739" t="s">
        <v>4800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 t="str">
        <f>IF((Sheet1[[#This Row],[Quantity]]*Sheet1[[#This Row],[UnitPrice]])=(Sheet1[[#This Row],[TotalPrice]]), "True", "False")</f>
        <v>True</v>
      </c>
      <c r="P739" t="str">
        <f>IF((Sheet1[[#This Row],[ItemsInCart]]&gt;=Sheet1[[#This Row],[Quantity]]), "Good", "Bad")</f>
        <v>Good</v>
      </c>
      <c r="Q739" t="str">
        <f t="shared" si="55"/>
        <v>OK</v>
      </c>
      <c r="R739" t="str">
        <f t="shared" si="56"/>
        <v>BAD</v>
      </c>
      <c r="S739">
        <f t="shared" si="57"/>
        <v>0</v>
      </c>
      <c r="T739">
        <f t="shared" si="58"/>
        <v>1</v>
      </c>
      <c r="U739" t="str">
        <f t="shared" si="59"/>
        <v>DOCUMENTED</v>
      </c>
    </row>
    <row r="740" spans="1:21">
      <c r="A740" t="s">
        <v>752</v>
      </c>
      <c r="B740" t="s">
        <v>4801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 t="str">
        <f>IF((Sheet1[[#This Row],[Quantity]]*Sheet1[[#This Row],[UnitPrice]])=(Sheet1[[#This Row],[TotalPrice]]), "True", "False")</f>
        <v>True</v>
      </c>
      <c r="P740" t="str">
        <f>IF((Sheet1[[#This Row],[ItemsInCart]]&gt;=Sheet1[[#This Row],[Quantity]]), "Good", "Bad")</f>
        <v>Good</v>
      </c>
      <c r="Q740" t="str">
        <f t="shared" si="55"/>
        <v>OK</v>
      </c>
      <c r="R740" t="str">
        <f t="shared" si="56"/>
        <v>GOOD</v>
      </c>
      <c r="S740">
        <f t="shared" si="57"/>
        <v>0</v>
      </c>
      <c r="T740">
        <f t="shared" si="58"/>
        <v>0</v>
      </c>
      <c r="U740" t="str">
        <f t="shared" si="59"/>
        <v>OK</v>
      </c>
    </row>
    <row r="741" spans="1:21">
      <c r="A741" t="s">
        <v>753</v>
      </c>
      <c r="B741" t="s">
        <v>4419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 t="str">
        <f>IF((Sheet1[[#This Row],[Quantity]]*Sheet1[[#This Row],[UnitPrice]])=(Sheet1[[#This Row],[TotalPrice]]), "True", "False")</f>
        <v>True</v>
      </c>
      <c r="P741" t="str">
        <f>IF((Sheet1[[#This Row],[ItemsInCart]]&gt;=Sheet1[[#This Row],[Quantity]]), "Good", "Bad")</f>
        <v>Good</v>
      </c>
      <c r="Q741" t="str">
        <f t="shared" si="55"/>
        <v>OK</v>
      </c>
      <c r="R741" t="str">
        <f t="shared" si="56"/>
        <v>GOOD</v>
      </c>
      <c r="S741">
        <f t="shared" si="57"/>
        <v>0</v>
      </c>
      <c r="T741">
        <f t="shared" si="58"/>
        <v>0</v>
      </c>
      <c r="U741" t="str">
        <f t="shared" si="59"/>
        <v>OK</v>
      </c>
    </row>
    <row r="742" spans="1:21">
      <c r="A742" t="s">
        <v>754</v>
      </c>
      <c r="B742" t="s">
        <v>4634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4961</v>
      </c>
      <c r="M742" t="s">
        <v>4282</v>
      </c>
      <c r="N742">
        <v>754.94</v>
      </c>
      <c r="O742" t="str">
        <f>IF((Sheet1[[#This Row],[Quantity]]*Sheet1[[#This Row],[UnitPrice]])=(Sheet1[[#This Row],[TotalPrice]]), "True", "False")</f>
        <v>True</v>
      </c>
      <c r="P742" t="str">
        <f>IF((Sheet1[[#This Row],[ItemsInCart]]&gt;=Sheet1[[#This Row],[Quantity]]), "Good", "Bad")</f>
        <v>Good</v>
      </c>
      <c r="Q742" t="str">
        <f t="shared" si="55"/>
        <v>OK</v>
      </c>
      <c r="R742" t="str">
        <f t="shared" si="56"/>
        <v>BAD</v>
      </c>
      <c r="S742">
        <f t="shared" si="57"/>
        <v>0</v>
      </c>
      <c r="T742">
        <f t="shared" si="58"/>
        <v>1</v>
      </c>
      <c r="U742" t="str">
        <f t="shared" si="59"/>
        <v>DOCUMENTED</v>
      </c>
    </row>
    <row r="743" spans="1:21">
      <c r="A743" t="s">
        <v>755</v>
      </c>
      <c r="B743" t="s">
        <v>4468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4961</v>
      </c>
      <c r="M743" t="s">
        <v>4279</v>
      </c>
      <c r="N743">
        <v>1663.2</v>
      </c>
      <c r="O743" t="str">
        <f>IF((Sheet1[[#This Row],[Quantity]]*Sheet1[[#This Row],[UnitPrice]])=(Sheet1[[#This Row],[TotalPrice]]), "True", "False")</f>
        <v>True</v>
      </c>
      <c r="P743" t="str">
        <f>IF((Sheet1[[#This Row],[ItemsInCart]]&gt;=Sheet1[[#This Row],[Quantity]]), "Good", "Bad")</f>
        <v>Good</v>
      </c>
      <c r="Q743" t="str">
        <f t="shared" si="55"/>
        <v>OK</v>
      </c>
      <c r="R743" t="str">
        <f t="shared" si="56"/>
        <v>GOOD</v>
      </c>
      <c r="S743">
        <f t="shared" si="57"/>
        <v>0</v>
      </c>
      <c r="T743">
        <f t="shared" si="58"/>
        <v>0</v>
      </c>
      <c r="U743" t="str">
        <f t="shared" si="59"/>
        <v>OK</v>
      </c>
    </row>
    <row r="744" spans="1:21">
      <c r="A744" t="s">
        <v>756</v>
      </c>
      <c r="B744" t="s">
        <v>4802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 t="str">
        <f>IF((Sheet1[[#This Row],[Quantity]]*Sheet1[[#This Row],[UnitPrice]])=(Sheet1[[#This Row],[TotalPrice]]), "True", "False")</f>
        <v>True</v>
      </c>
      <c r="P744" t="str">
        <f>IF((Sheet1[[#This Row],[ItemsInCart]]&gt;=Sheet1[[#This Row],[Quantity]]), "Good", "Bad")</f>
        <v>Good</v>
      </c>
      <c r="Q744" t="str">
        <f t="shared" si="55"/>
        <v>OK</v>
      </c>
      <c r="R744" t="str">
        <f t="shared" si="56"/>
        <v>GOOD</v>
      </c>
      <c r="S744">
        <f t="shared" si="57"/>
        <v>0</v>
      </c>
      <c r="T744">
        <f t="shared" si="58"/>
        <v>0</v>
      </c>
      <c r="U744" t="str">
        <f t="shared" si="59"/>
        <v>OK</v>
      </c>
    </row>
    <row r="745" spans="1:21">
      <c r="A745" t="s">
        <v>757</v>
      </c>
      <c r="B745" t="s">
        <v>4713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 t="str">
        <f>IF((Sheet1[[#This Row],[Quantity]]*Sheet1[[#This Row],[UnitPrice]])=(Sheet1[[#This Row],[TotalPrice]]), "True", "False")</f>
        <v>True</v>
      </c>
      <c r="P745" t="str">
        <f>IF((Sheet1[[#This Row],[ItemsInCart]]&gt;=Sheet1[[#This Row],[Quantity]]), "Good", "Bad")</f>
        <v>Good</v>
      </c>
      <c r="Q745" t="str">
        <f t="shared" si="55"/>
        <v>OK</v>
      </c>
      <c r="R745" t="str">
        <f t="shared" si="56"/>
        <v>GOOD</v>
      </c>
      <c r="S745">
        <f t="shared" si="57"/>
        <v>0</v>
      </c>
      <c r="T745">
        <f t="shared" si="58"/>
        <v>0</v>
      </c>
      <c r="U745" t="str">
        <f t="shared" si="59"/>
        <v>OK</v>
      </c>
    </row>
    <row r="746" spans="1:21">
      <c r="A746" t="s">
        <v>758</v>
      </c>
      <c r="B746" t="s">
        <v>4803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 t="str">
        <f>IF((Sheet1[[#This Row],[Quantity]]*Sheet1[[#This Row],[UnitPrice]])=(Sheet1[[#This Row],[TotalPrice]]), "True", "False")</f>
        <v>True</v>
      </c>
      <c r="P746" t="str">
        <f>IF((Sheet1[[#This Row],[ItemsInCart]]&gt;=Sheet1[[#This Row],[Quantity]]), "Good", "Bad")</f>
        <v>Good</v>
      </c>
      <c r="Q746" t="str">
        <f t="shared" si="55"/>
        <v>OK</v>
      </c>
      <c r="R746" t="str">
        <f t="shared" si="56"/>
        <v>GOOD</v>
      </c>
      <c r="S746">
        <f t="shared" si="57"/>
        <v>0</v>
      </c>
      <c r="T746">
        <f t="shared" si="58"/>
        <v>0</v>
      </c>
      <c r="U746" t="str">
        <f t="shared" si="59"/>
        <v>OK</v>
      </c>
    </row>
    <row r="747" spans="1:21">
      <c r="A747" t="s">
        <v>759</v>
      </c>
      <c r="B747" t="s">
        <v>4804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 t="str">
        <f>IF((Sheet1[[#This Row],[Quantity]]*Sheet1[[#This Row],[UnitPrice]])=(Sheet1[[#This Row],[TotalPrice]]), "True", "False")</f>
        <v>True</v>
      </c>
      <c r="P747" t="str">
        <f>IF((Sheet1[[#This Row],[ItemsInCart]]&gt;=Sheet1[[#This Row],[Quantity]]), "Good", "Bad")</f>
        <v>Good</v>
      </c>
      <c r="Q747" t="str">
        <f t="shared" si="55"/>
        <v>OK</v>
      </c>
      <c r="R747" t="str">
        <f t="shared" si="56"/>
        <v>BAD</v>
      </c>
      <c r="S747">
        <f t="shared" si="57"/>
        <v>0</v>
      </c>
      <c r="T747">
        <f t="shared" si="58"/>
        <v>1</v>
      </c>
      <c r="U747" t="str">
        <f t="shared" si="59"/>
        <v>DOCUMENTED</v>
      </c>
    </row>
    <row r="748" spans="1:21">
      <c r="A748" t="s">
        <v>760</v>
      </c>
      <c r="B748" t="s">
        <v>4805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 t="str">
        <f>IF((Sheet1[[#This Row],[Quantity]]*Sheet1[[#This Row],[UnitPrice]])=(Sheet1[[#This Row],[TotalPrice]]), "True", "False")</f>
        <v>True</v>
      </c>
      <c r="P748" t="str">
        <f>IF((Sheet1[[#This Row],[ItemsInCart]]&gt;=Sheet1[[#This Row],[Quantity]]), "Good", "Bad")</f>
        <v>Good</v>
      </c>
      <c r="Q748" t="str">
        <f t="shared" si="55"/>
        <v>OK</v>
      </c>
      <c r="R748" t="str">
        <f t="shared" si="56"/>
        <v>BAD</v>
      </c>
      <c r="S748">
        <f t="shared" si="57"/>
        <v>0</v>
      </c>
      <c r="T748">
        <f t="shared" si="58"/>
        <v>1</v>
      </c>
      <c r="U748" t="str">
        <f t="shared" si="59"/>
        <v>REVIEW_RETURN</v>
      </c>
    </row>
    <row r="749" spans="1:21">
      <c r="A749" t="s">
        <v>761</v>
      </c>
      <c r="B749" t="s">
        <v>4778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 t="str">
        <f>IF((Sheet1[[#This Row],[Quantity]]*Sheet1[[#This Row],[UnitPrice]])=(Sheet1[[#This Row],[TotalPrice]]), "True", "False")</f>
        <v>True</v>
      </c>
      <c r="P749" t="str">
        <f>IF((Sheet1[[#This Row],[ItemsInCart]]&gt;=Sheet1[[#This Row],[Quantity]]), "Good", "Bad")</f>
        <v>Good</v>
      </c>
      <c r="Q749" t="str">
        <f t="shared" si="55"/>
        <v>OK</v>
      </c>
      <c r="R749" t="str">
        <f t="shared" si="56"/>
        <v>GOOD</v>
      </c>
      <c r="S749">
        <f t="shared" si="57"/>
        <v>0</v>
      </c>
      <c r="T749">
        <f t="shared" si="58"/>
        <v>0</v>
      </c>
      <c r="U749" t="str">
        <f t="shared" si="59"/>
        <v>OK</v>
      </c>
    </row>
    <row r="750" spans="1:21">
      <c r="A750" t="s">
        <v>762</v>
      </c>
      <c r="B750" t="s">
        <v>4806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 t="str">
        <f>IF((Sheet1[[#This Row],[Quantity]]*Sheet1[[#This Row],[UnitPrice]])=(Sheet1[[#This Row],[TotalPrice]]), "True", "False")</f>
        <v>True</v>
      </c>
      <c r="P750" t="str">
        <f>IF((Sheet1[[#This Row],[ItemsInCart]]&gt;=Sheet1[[#This Row],[Quantity]]), "Good", "Bad")</f>
        <v>Good</v>
      </c>
      <c r="Q750" t="str">
        <f t="shared" si="55"/>
        <v>OK</v>
      </c>
      <c r="R750" t="str">
        <f t="shared" si="56"/>
        <v>GOOD</v>
      </c>
      <c r="S750">
        <f t="shared" si="57"/>
        <v>0</v>
      </c>
      <c r="T750">
        <f t="shared" si="58"/>
        <v>0</v>
      </c>
      <c r="U750" t="str">
        <f t="shared" si="59"/>
        <v>OK</v>
      </c>
    </row>
    <row r="751" spans="1:21">
      <c r="A751" t="s">
        <v>763</v>
      </c>
      <c r="B751" t="s">
        <v>4807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 t="str">
        <f>IF((Sheet1[[#This Row],[Quantity]]*Sheet1[[#This Row],[UnitPrice]])=(Sheet1[[#This Row],[TotalPrice]]), "True", "False")</f>
        <v>True</v>
      </c>
      <c r="P751" t="str">
        <f>IF((Sheet1[[#This Row],[ItemsInCart]]&gt;=Sheet1[[#This Row],[Quantity]]), "Good", "Bad")</f>
        <v>Good</v>
      </c>
      <c r="Q751" t="str">
        <f t="shared" si="55"/>
        <v>OK</v>
      </c>
      <c r="R751" t="str">
        <f t="shared" si="56"/>
        <v>BAD</v>
      </c>
      <c r="S751">
        <f t="shared" si="57"/>
        <v>0</v>
      </c>
      <c r="T751">
        <f t="shared" si="58"/>
        <v>1</v>
      </c>
      <c r="U751" t="str">
        <f t="shared" si="59"/>
        <v>DOCUMENTED</v>
      </c>
    </row>
    <row r="752" spans="1:21">
      <c r="A752" t="s">
        <v>764</v>
      </c>
      <c r="B752" t="s">
        <v>4373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 t="str">
        <f>IF((Sheet1[[#This Row],[Quantity]]*Sheet1[[#This Row],[UnitPrice]])=(Sheet1[[#This Row],[TotalPrice]]), "True", "False")</f>
        <v>True</v>
      </c>
      <c r="P752" t="str">
        <f>IF((Sheet1[[#This Row],[ItemsInCart]]&gt;=Sheet1[[#This Row],[Quantity]]), "Good", "Bad")</f>
        <v>Good</v>
      </c>
      <c r="Q752" t="str">
        <f t="shared" si="55"/>
        <v>OK</v>
      </c>
      <c r="R752" t="str">
        <f t="shared" si="56"/>
        <v>GOOD</v>
      </c>
      <c r="S752">
        <f t="shared" si="57"/>
        <v>0</v>
      </c>
      <c r="T752">
        <f t="shared" si="58"/>
        <v>0</v>
      </c>
      <c r="U752" t="str">
        <f t="shared" si="59"/>
        <v>OK</v>
      </c>
    </row>
    <row r="753" spans="1:21">
      <c r="A753" t="s">
        <v>765</v>
      </c>
      <c r="B753" t="s">
        <v>4299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 t="str">
        <f>IF((Sheet1[[#This Row],[Quantity]]*Sheet1[[#This Row],[UnitPrice]])=(Sheet1[[#This Row],[TotalPrice]]), "True", "False")</f>
        <v>True</v>
      </c>
      <c r="P753" t="str">
        <f>IF((Sheet1[[#This Row],[ItemsInCart]]&gt;=Sheet1[[#This Row],[Quantity]]), "Good", "Bad")</f>
        <v>Good</v>
      </c>
      <c r="Q753" t="str">
        <f t="shared" si="55"/>
        <v>OK</v>
      </c>
      <c r="R753" t="str">
        <f t="shared" si="56"/>
        <v>BAD</v>
      </c>
      <c r="S753">
        <f t="shared" si="57"/>
        <v>0</v>
      </c>
      <c r="T753">
        <f t="shared" si="58"/>
        <v>1</v>
      </c>
      <c r="U753" t="str">
        <f t="shared" si="59"/>
        <v>DOCUMENTED</v>
      </c>
    </row>
    <row r="754" spans="1:21">
      <c r="A754" t="s">
        <v>766</v>
      </c>
      <c r="B754" t="s">
        <v>4808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 t="str">
        <f>IF((Sheet1[[#This Row],[Quantity]]*Sheet1[[#This Row],[UnitPrice]])=(Sheet1[[#This Row],[TotalPrice]]), "True", "False")</f>
        <v>True</v>
      </c>
      <c r="P754" t="str">
        <f>IF((Sheet1[[#This Row],[ItemsInCart]]&gt;=Sheet1[[#This Row],[Quantity]]), "Good", "Bad")</f>
        <v>Good</v>
      </c>
      <c r="Q754" t="str">
        <f t="shared" si="55"/>
        <v>OK</v>
      </c>
      <c r="R754" t="str">
        <f t="shared" si="56"/>
        <v>GOOD</v>
      </c>
      <c r="S754">
        <f t="shared" si="57"/>
        <v>0</v>
      </c>
      <c r="T754">
        <f t="shared" si="58"/>
        <v>0</v>
      </c>
      <c r="U754" t="str">
        <f t="shared" si="59"/>
        <v>OK</v>
      </c>
    </row>
    <row r="755" spans="1:21">
      <c r="A755" t="s">
        <v>767</v>
      </c>
      <c r="B755" t="s">
        <v>4809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 t="str">
        <f>IF((Sheet1[[#This Row],[Quantity]]*Sheet1[[#This Row],[UnitPrice]])=(Sheet1[[#This Row],[TotalPrice]]), "True", "False")</f>
        <v>True</v>
      </c>
      <c r="P755" t="str">
        <f>IF((Sheet1[[#This Row],[ItemsInCart]]&gt;=Sheet1[[#This Row],[Quantity]]), "Good", "Bad")</f>
        <v>Good</v>
      </c>
      <c r="Q755" t="str">
        <f t="shared" si="55"/>
        <v>OK</v>
      </c>
      <c r="R755" t="str">
        <f t="shared" si="56"/>
        <v>GOOD</v>
      </c>
      <c r="S755">
        <f t="shared" si="57"/>
        <v>0</v>
      </c>
      <c r="T755">
        <f t="shared" si="58"/>
        <v>0</v>
      </c>
      <c r="U755" t="str">
        <f t="shared" si="59"/>
        <v>OK</v>
      </c>
    </row>
    <row r="756" spans="1:21">
      <c r="A756" t="s">
        <v>768</v>
      </c>
      <c r="B756" t="s">
        <v>4416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 t="str">
        <f>IF((Sheet1[[#This Row],[Quantity]]*Sheet1[[#This Row],[UnitPrice]])=(Sheet1[[#This Row],[TotalPrice]]), "True", "False")</f>
        <v>True</v>
      </c>
      <c r="P756" t="str">
        <f>IF((Sheet1[[#This Row],[ItemsInCart]]&gt;=Sheet1[[#This Row],[Quantity]]), "Good", "Bad")</f>
        <v>Good</v>
      </c>
      <c r="Q756" t="str">
        <f t="shared" si="55"/>
        <v>OK</v>
      </c>
      <c r="R756" t="str">
        <f t="shared" si="56"/>
        <v>GOOD</v>
      </c>
      <c r="S756">
        <f t="shared" si="57"/>
        <v>0</v>
      </c>
      <c r="T756">
        <f t="shared" si="58"/>
        <v>0</v>
      </c>
      <c r="U756" t="str">
        <f t="shared" si="59"/>
        <v>OK</v>
      </c>
    </row>
    <row r="757" spans="1:21">
      <c r="A757" t="s">
        <v>769</v>
      </c>
      <c r="B757" t="s">
        <v>4810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4961</v>
      </c>
      <c r="M757" t="s">
        <v>4280</v>
      </c>
      <c r="N757">
        <v>1010.13</v>
      </c>
      <c r="O757" t="str">
        <f>IF((Sheet1[[#This Row],[Quantity]]*Sheet1[[#This Row],[UnitPrice]])=(Sheet1[[#This Row],[TotalPrice]]), "True", "False")</f>
        <v>True</v>
      </c>
      <c r="P757" t="str">
        <f>IF((Sheet1[[#This Row],[ItemsInCart]]&gt;=Sheet1[[#This Row],[Quantity]]), "Good", "Bad")</f>
        <v>Good</v>
      </c>
      <c r="Q757" t="str">
        <f t="shared" si="55"/>
        <v>OK</v>
      </c>
      <c r="R757" t="str">
        <f t="shared" si="56"/>
        <v>BAD</v>
      </c>
      <c r="S757">
        <f t="shared" si="57"/>
        <v>0</v>
      </c>
      <c r="T757">
        <f t="shared" si="58"/>
        <v>1</v>
      </c>
      <c r="U757" t="str">
        <f t="shared" si="59"/>
        <v>DOCUMENTED</v>
      </c>
    </row>
    <row r="758" spans="1:21">
      <c r="A758" t="s">
        <v>770</v>
      </c>
      <c r="B758" t="s">
        <v>4609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4961</v>
      </c>
      <c r="M758" t="s">
        <v>4282</v>
      </c>
      <c r="N758">
        <v>283.69</v>
      </c>
      <c r="O758" t="str">
        <f>IF((Sheet1[[#This Row],[Quantity]]*Sheet1[[#This Row],[UnitPrice]])=(Sheet1[[#This Row],[TotalPrice]]), "True", "False")</f>
        <v>True</v>
      </c>
      <c r="P758" t="str">
        <f>IF((Sheet1[[#This Row],[ItemsInCart]]&gt;=Sheet1[[#This Row],[Quantity]]), "Good", "Bad")</f>
        <v>Good</v>
      </c>
      <c r="Q758" t="str">
        <f t="shared" si="55"/>
        <v>OK</v>
      </c>
      <c r="R758" t="str">
        <f t="shared" si="56"/>
        <v>GOOD</v>
      </c>
      <c r="S758">
        <f t="shared" si="57"/>
        <v>0</v>
      </c>
      <c r="T758">
        <f t="shared" si="58"/>
        <v>0</v>
      </c>
      <c r="U758" t="str">
        <f t="shared" si="59"/>
        <v>OK</v>
      </c>
    </row>
    <row r="759" spans="1:21">
      <c r="A759" t="s">
        <v>771</v>
      </c>
      <c r="B759" t="s">
        <v>4310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 t="str">
        <f>IF((Sheet1[[#This Row],[Quantity]]*Sheet1[[#This Row],[UnitPrice]])=(Sheet1[[#This Row],[TotalPrice]]), "True", "False")</f>
        <v>True</v>
      </c>
      <c r="P759" t="str">
        <f>IF((Sheet1[[#This Row],[ItemsInCart]]&gt;=Sheet1[[#This Row],[Quantity]]), "Good", "Bad")</f>
        <v>Good</v>
      </c>
      <c r="Q759" t="str">
        <f t="shared" si="55"/>
        <v>OK</v>
      </c>
      <c r="R759" t="str">
        <f t="shared" si="56"/>
        <v>GOOD</v>
      </c>
      <c r="S759">
        <f t="shared" si="57"/>
        <v>0</v>
      </c>
      <c r="T759">
        <f t="shared" si="58"/>
        <v>0</v>
      </c>
      <c r="U759" t="str">
        <f t="shared" si="59"/>
        <v>OK</v>
      </c>
    </row>
    <row r="760" spans="1:21">
      <c r="A760" t="s">
        <v>772</v>
      </c>
      <c r="B760" t="s">
        <v>4748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 t="str">
        <f>IF((Sheet1[[#This Row],[Quantity]]*Sheet1[[#This Row],[UnitPrice]])=(Sheet1[[#This Row],[TotalPrice]]), "True", "False")</f>
        <v>True</v>
      </c>
      <c r="P760" t="str">
        <f>IF((Sheet1[[#This Row],[ItemsInCart]]&gt;=Sheet1[[#This Row],[Quantity]]), "Good", "Bad")</f>
        <v>Good</v>
      </c>
      <c r="Q760" t="str">
        <f t="shared" si="55"/>
        <v>OK</v>
      </c>
      <c r="R760" t="str">
        <f t="shared" si="56"/>
        <v>BAD</v>
      </c>
      <c r="S760">
        <f t="shared" si="57"/>
        <v>0</v>
      </c>
      <c r="T760">
        <f t="shared" si="58"/>
        <v>1</v>
      </c>
      <c r="U760" t="str">
        <f t="shared" si="59"/>
        <v>REVIEW_RETURN</v>
      </c>
    </row>
    <row r="761" spans="1:21">
      <c r="A761" t="s">
        <v>773</v>
      </c>
      <c r="B761" t="s">
        <v>4811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 t="str">
        <f>IF((Sheet1[[#This Row],[Quantity]]*Sheet1[[#This Row],[UnitPrice]])=(Sheet1[[#This Row],[TotalPrice]]), "True", "False")</f>
        <v>True</v>
      </c>
      <c r="P761" t="str">
        <f>IF((Sheet1[[#This Row],[ItemsInCart]]&gt;=Sheet1[[#This Row],[Quantity]]), "Good", "Bad")</f>
        <v>Good</v>
      </c>
      <c r="Q761" t="str">
        <f t="shared" si="55"/>
        <v>OK</v>
      </c>
      <c r="R761" t="str">
        <f t="shared" si="56"/>
        <v>BAD</v>
      </c>
      <c r="S761">
        <f t="shared" si="57"/>
        <v>0</v>
      </c>
      <c r="T761">
        <f t="shared" si="58"/>
        <v>1</v>
      </c>
      <c r="U761" t="str">
        <f t="shared" si="59"/>
        <v>DOCUMENTED</v>
      </c>
    </row>
    <row r="762" spans="1:21">
      <c r="A762" t="s">
        <v>774</v>
      </c>
      <c r="B762" t="s">
        <v>4686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4961</v>
      </c>
      <c r="M762" t="s">
        <v>4282</v>
      </c>
      <c r="N762">
        <v>39.56</v>
      </c>
      <c r="O762" t="str">
        <f>IF((Sheet1[[#This Row],[Quantity]]*Sheet1[[#This Row],[UnitPrice]])=(Sheet1[[#This Row],[TotalPrice]]), "True", "False")</f>
        <v>True</v>
      </c>
      <c r="P762" t="str">
        <f>IF((Sheet1[[#This Row],[ItemsInCart]]&gt;=Sheet1[[#This Row],[Quantity]]), "Good", "Bad")</f>
        <v>Good</v>
      </c>
      <c r="Q762" t="str">
        <f t="shared" si="55"/>
        <v>OK</v>
      </c>
      <c r="R762" t="str">
        <f t="shared" si="56"/>
        <v>BAD</v>
      </c>
      <c r="S762">
        <f t="shared" si="57"/>
        <v>0</v>
      </c>
      <c r="T762">
        <f t="shared" si="58"/>
        <v>1</v>
      </c>
      <c r="U762" t="str">
        <f t="shared" si="59"/>
        <v>REVIEW_RETURN</v>
      </c>
    </row>
    <row r="763" spans="1:21">
      <c r="A763" t="s">
        <v>775</v>
      </c>
      <c r="B763" t="s">
        <v>4737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4961</v>
      </c>
      <c r="M763" t="s">
        <v>4282</v>
      </c>
      <c r="N763">
        <v>151.04</v>
      </c>
      <c r="O763" t="str">
        <f>IF((Sheet1[[#This Row],[Quantity]]*Sheet1[[#This Row],[UnitPrice]])=(Sheet1[[#This Row],[TotalPrice]]), "True", "False")</f>
        <v>True</v>
      </c>
      <c r="P763" t="str">
        <f>IF((Sheet1[[#This Row],[ItemsInCart]]&gt;=Sheet1[[#This Row],[Quantity]]), "Good", "Bad")</f>
        <v>Good</v>
      </c>
      <c r="Q763" t="str">
        <f t="shared" si="55"/>
        <v>OK</v>
      </c>
      <c r="R763" t="str">
        <f t="shared" si="56"/>
        <v>GOOD</v>
      </c>
      <c r="S763">
        <f t="shared" si="57"/>
        <v>0</v>
      </c>
      <c r="T763">
        <f t="shared" si="58"/>
        <v>0</v>
      </c>
      <c r="U763" t="str">
        <f t="shared" si="59"/>
        <v>OK</v>
      </c>
    </row>
    <row r="764" spans="1:21">
      <c r="A764" t="s">
        <v>776</v>
      </c>
      <c r="B764" t="s">
        <v>4812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 t="str">
        <f>IF((Sheet1[[#This Row],[Quantity]]*Sheet1[[#This Row],[UnitPrice]])=(Sheet1[[#This Row],[TotalPrice]]), "True", "False")</f>
        <v>True</v>
      </c>
      <c r="P764" t="str">
        <f>IF((Sheet1[[#This Row],[ItemsInCart]]&gt;=Sheet1[[#This Row],[Quantity]]), "Good", "Bad")</f>
        <v>Good</v>
      </c>
      <c r="Q764" t="str">
        <f t="shared" si="55"/>
        <v>OK</v>
      </c>
      <c r="R764" t="str">
        <f t="shared" si="56"/>
        <v>GOOD</v>
      </c>
      <c r="S764">
        <f t="shared" si="57"/>
        <v>0</v>
      </c>
      <c r="T764">
        <f t="shared" si="58"/>
        <v>0</v>
      </c>
      <c r="U764" t="str">
        <f t="shared" si="59"/>
        <v>OK</v>
      </c>
    </row>
    <row r="765" spans="1:21">
      <c r="A765" t="s">
        <v>777</v>
      </c>
      <c r="B765" t="s">
        <v>4671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 t="str">
        <f>IF((Sheet1[[#This Row],[Quantity]]*Sheet1[[#This Row],[UnitPrice]])=(Sheet1[[#This Row],[TotalPrice]]), "True", "False")</f>
        <v>True</v>
      </c>
      <c r="P765" t="str">
        <f>IF((Sheet1[[#This Row],[ItemsInCart]]&gt;=Sheet1[[#This Row],[Quantity]]), "Good", "Bad")</f>
        <v>Good</v>
      </c>
      <c r="Q765" t="str">
        <f t="shared" si="55"/>
        <v>OK</v>
      </c>
      <c r="R765" t="str">
        <f t="shared" si="56"/>
        <v>GOOD</v>
      </c>
      <c r="S765">
        <f t="shared" si="57"/>
        <v>0</v>
      </c>
      <c r="T765">
        <f t="shared" si="58"/>
        <v>0</v>
      </c>
      <c r="U765" t="str">
        <f t="shared" si="59"/>
        <v>OK</v>
      </c>
    </row>
    <row r="766" spans="1:21">
      <c r="A766" t="s">
        <v>778</v>
      </c>
      <c r="B766" t="s">
        <v>4699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 t="str">
        <f>IF((Sheet1[[#This Row],[Quantity]]*Sheet1[[#This Row],[UnitPrice]])=(Sheet1[[#This Row],[TotalPrice]]), "True", "False")</f>
        <v>True</v>
      </c>
      <c r="P766" t="str">
        <f>IF((Sheet1[[#This Row],[ItemsInCart]]&gt;=Sheet1[[#This Row],[Quantity]]), "Good", "Bad")</f>
        <v>Good</v>
      </c>
      <c r="Q766" t="str">
        <f t="shared" si="55"/>
        <v>OK</v>
      </c>
      <c r="R766" t="str">
        <f t="shared" si="56"/>
        <v>BAD</v>
      </c>
      <c r="S766">
        <f t="shared" si="57"/>
        <v>0</v>
      </c>
      <c r="T766">
        <f t="shared" si="58"/>
        <v>1</v>
      </c>
      <c r="U766" t="str">
        <f t="shared" si="59"/>
        <v>REVIEW_RETURN</v>
      </c>
    </row>
    <row r="767" spans="1:21">
      <c r="A767" t="s">
        <v>779</v>
      </c>
      <c r="B767" t="s">
        <v>4709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 t="str">
        <f>IF((Sheet1[[#This Row],[Quantity]]*Sheet1[[#This Row],[UnitPrice]])=(Sheet1[[#This Row],[TotalPrice]]), "True", "False")</f>
        <v>True</v>
      </c>
      <c r="P767" t="str">
        <f>IF((Sheet1[[#This Row],[ItemsInCart]]&gt;=Sheet1[[#This Row],[Quantity]]), "Good", "Bad")</f>
        <v>Good</v>
      </c>
      <c r="Q767" t="str">
        <f t="shared" si="55"/>
        <v>OK</v>
      </c>
      <c r="R767" t="str">
        <f t="shared" si="56"/>
        <v>GOOD</v>
      </c>
      <c r="S767">
        <f t="shared" si="57"/>
        <v>0</v>
      </c>
      <c r="T767">
        <f t="shared" si="58"/>
        <v>0</v>
      </c>
      <c r="U767" t="str">
        <f t="shared" si="59"/>
        <v>OK</v>
      </c>
    </row>
    <row r="768" spans="1:21">
      <c r="A768" t="s">
        <v>780</v>
      </c>
      <c r="B768" t="s">
        <v>4338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 t="str">
        <f>IF((Sheet1[[#This Row],[Quantity]]*Sheet1[[#This Row],[UnitPrice]])=(Sheet1[[#This Row],[TotalPrice]]), "True", "False")</f>
        <v>True</v>
      </c>
      <c r="P768" t="str">
        <f>IF((Sheet1[[#This Row],[ItemsInCart]]&gt;=Sheet1[[#This Row],[Quantity]]), "Good", "Bad")</f>
        <v>Good</v>
      </c>
      <c r="Q768" t="str">
        <f t="shared" si="55"/>
        <v>OK</v>
      </c>
      <c r="R768" t="str">
        <f t="shared" si="56"/>
        <v>BAD</v>
      </c>
      <c r="S768">
        <f t="shared" si="57"/>
        <v>0</v>
      </c>
      <c r="T768">
        <f t="shared" si="58"/>
        <v>1</v>
      </c>
      <c r="U768" t="str">
        <f t="shared" si="59"/>
        <v>DOCUMENTED</v>
      </c>
    </row>
    <row r="769" spans="1:21">
      <c r="A769" t="s">
        <v>781</v>
      </c>
      <c r="B769" t="s">
        <v>4762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4961</v>
      </c>
      <c r="M769" t="s">
        <v>4278</v>
      </c>
      <c r="N769">
        <v>646.44000000000005</v>
      </c>
      <c r="O769" t="str">
        <f>IF((Sheet1[[#This Row],[Quantity]]*Sheet1[[#This Row],[UnitPrice]])=(Sheet1[[#This Row],[TotalPrice]]), "True", "False")</f>
        <v>True</v>
      </c>
      <c r="P769" t="str">
        <f>IF((Sheet1[[#This Row],[ItemsInCart]]&gt;=Sheet1[[#This Row],[Quantity]]), "Good", "Bad")</f>
        <v>Good</v>
      </c>
      <c r="Q769" t="str">
        <f t="shared" si="55"/>
        <v>OK</v>
      </c>
      <c r="R769" t="str">
        <f t="shared" si="56"/>
        <v>GOOD</v>
      </c>
      <c r="S769">
        <f t="shared" si="57"/>
        <v>0</v>
      </c>
      <c r="T769">
        <f t="shared" si="58"/>
        <v>0</v>
      </c>
      <c r="U769" t="str">
        <f t="shared" si="59"/>
        <v>OK</v>
      </c>
    </row>
    <row r="770" spans="1:21">
      <c r="A770" t="s">
        <v>782</v>
      </c>
      <c r="B770" t="s">
        <v>4638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 t="str">
        <f>IF((Sheet1[[#This Row],[Quantity]]*Sheet1[[#This Row],[UnitPrice]])=(Sheet1[[#This Row],[TotalPrice]]), "True", "False")</f>
        <v>True</v>
      </c>
      <c r="P770" t="str">
        <f>IF((Sheet1[[#This Row],[ItemsInCart]]&gt;=Sheet1[[#This Row],[Quantity]]), "Good", "Bad")</f>
        <v>Good</v>
      </c>
      <c r="Q770" t="str">
        <f t="shared" ref="Q770:Q833" si="60">IF(AND(E770&gt;0, F770&gt;0,N770&gt;0),"OK","INVALID")</f>
        <v>OK</v>
      </c>
      <c r="R770" t="str">
        <f t="shared" ref="R770:R833" si="61">IF(OR(AND(OR(I770="Shipped",I770="Delivered",I770="Returned"),J770=""),AND(OR(I770="Processing",I770="Pending",I770="Cancelled"),J770&lt;&gt;"")),"BAD","GOOD")</f>
        <v>BAD</v>
      </c>
      <c r="S770">
        <f t="shared" ref="S770:S833" si="62">IF(AND(OR(I770="Shipped",I770="Delivered",I770="Returned"),J770=""),1,0)</f>
        <v>0</v>
      </c>
      <c r="T770">
        <f t="shared" ref="T770:T833" si="63">IF(AND(OR(I770="Processing",I770="Pending",I770="Cancelled"),J770&lt;&gt;""),1,0)</f>
        <v>1</v>
      </c>
      <c r="U770" t="str">
        <f t="shared" ref="U770:U833" si="64">IF(AND(OR(I770="Shipped",I770="Delivered"),J770=""),"MISSING_TRACKING", IF(AND(OR(I770="Processing",I770="Pending"),J770&lt;&gt;""),"DOCUMENTED", IF(AND(I770="Cancelled",J770&lt;&gt;""), "REVIEW_RETURN", "OK")))</f>
        <v>REVIEW_RETURN</v>
      </c>
    </row>
    <row r="771" spans="1:21">
      <c r="A771" t="s">
        <v>783</v>
      </c>
      <c r="B771" t="s">
        <v>4400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4961</v>
      </c>
      <c r="M771" t="s">
        <v>4280</v>
      </c>
      <c r="N771">
        <v>2714.2</v>
      </c>
      <c r="O771" t="str">
        <f>IF((Sheet1[[#This Row],[Quantity]]*Sheet1[[#This Row],[UnitPrice]])=(Sheet1[[#This Row],[TotalPrice]]), "True", "False")</f>
        <v>True</v>
      </c>
      <c r="P771" t="str">
        <f>IF((Sheet1[[#This Row],[ItemsInCart]]&gt;=Sheet1[[#This Row],[Quantity]]), "Good", "Bad")</f>
        <v>Good</v>
      </c>
      <c r="Q771" t="str">
        <f t="shared" si="60"/>
        <v>OK</v>
      </c>
      <c r="R771" t="str">
        <f t="shared" si="61"/>
        <v>GOOD</v>
      </c>
      <c r="S771">
        <f t="shared" si="62"/>
        <v>0</v>
      </c>
      <c r="T771">
        <f t="shared" si="63"/>
        <v>0</v>
      </c>
      <c r="U771" t="str">
        <f t="shared" si="64"/>
        <v>OK</v>
      </c>
    </row>
    <row r="772" spans="1:21">
      <c r="A772" t="s">
        <v>784</v>
      </c>
      <c r="B772" t="s">
        <v>4813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4961</v>
      </c>
      <c r="M772" t="s">
        <v>4282</v>
      </c>
      <c r="N772">
        <v>314.38</v>
      </c>
      <c r="O772" t="str">
        <f>IF((Sheet1[[#This Row],[Quantity]]*Sheet1[[#This Row],[UnitPrice]])=(Sheet1[[#This Row],[TotalPrice]]), "True", "False")</f>
        <v>True</v>
      </c>
      <c r="P772" t="str">
        <f>IF((Sheet1[[#This Row],[ItemsInCart]]&gt;=Sheet1[[#This Row],[Quantity]]), "Good", "Bad")</f>
        <v>Good</v>
      </c>
      <c r="Q772" t="str">
        <f t="shared" si="60"/>
        <v>OK</v>
      </c>
      <c r="R772" t="str">
        <f t="shared" si="61"/>
        <v>GOOD</v>
      </c>
      <c r="S772">
        <f t="shared" si="62"/>
        <v>0</v>
      </c>
      <c r="T772">
        <f t="shared" si="63"/>
        <v>0</v>
      </c>
      <c r="U772" t="str">
        <f t="shared" si="64"/>
        <v>OK</v>
      </c>
    </row>
    <row r="773" spans="1:21">
      <c r="A773" t="s">
        <v>785</v>
      </c>
      <c r="B773" t="s">
        <v>4803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 t="str">
        <f>IF((Sheet1[[#This Row],[Quantity]]*Sheet1[[#This Row],[UnitPrice]])=(Sheet1[[#This Row],[TotalPrice]]), "True", "False")</f>
        <v>True</v>
      </c>
      <c r="P773" t="str">
        <f>IF((Sheet1[[#This Row],[ItemsInCart]]&gt;=Sheet1[[#This Row],[Quantity]]), "Good", "Bad")</f>
        <v>Good</v>
      </c>
      <c r="Q773" t="str">
        <f t="shared" si="60"/>
        <v>OK</v>
      </c>
      <c r="R773" t="str">
        <f t="shared" si="61"/>
        <v>BAD</v>
      </c>
      <c r="S773">
        <f t="shared" si="62"/>
        <v>0</v>
      </c>
      <c r="T773">
        <f t="shared" si="63"/>
        <v>1</v>
      </c>
      <c r="U773" t="str">
        <f t="shared" si="64"/>
        <v>REVIEW_RETURN</v>
      </c>
    </row>
    <row r="774" spans="1:21">
      <c r="A774" t="s">
        <v>786</v>
      </c>
      <c r="B774" t="s">
        <v>4401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4961</v>
      </c>
      <c r="M774" t="s">
        <v>4278</v>
      </c>
      <c r="N774">
        <v>604.87</v>
      </c>
      <c r="O774" t="str">
        <f>IF((Sheet1[[#This Row],[Quantity]]*Sheet1[[#This Row],[UnitPrice]])=(Sheet1[[#This Row],[TotalPrice]]), "True", "False")</f>
        <v>True</v>
      </c>
      <c r="P774" t="str">
        <f>IF((Sheet1[[#This Row],[ItemsInCart]]&gt;=Sheet1[[#This Row],[Quantity]]), "Good", "Bad")</f>
        <v>Good</v>
      </c>
      <c r="Q774" t="str">
        <f t="shared" si="60"/>
        <v>OK</v>
      </c>
      <c r="R774" t="str">
        <f t="shared" si="61"/>
        <v>GOOD</v>
      </c>
      <c r="S774">
        <f t="shared" si="62"/>
        <v>0</v>
      </c>
      <c r="T774">
        <f t="shared" si="63"/>
        <v>0</v>
      </c>
      <c r="U774" t="str">
        <f t="shared" si="64"/>
        <v>OK</v>
      </c>
    </row>
    <row r="775" spans="1:21">
      <c r="A775" t="s">
        <v>787</v>
      </c>
      <c r="B775" t="s">
        <v>4447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4961</v>
      </c>
      <c r="M775" t="s">
        <v>4281</v>
      </c>
      <c r="N775">
        <v>1024.6600000000001</v>
      </c>
      <c r="O775" t="str">
        <f>IF((Sheet1[[#This Row],[Quantity]]*Sheet1[[#This Row],[UnitPrice]])=(Sheet1[[#This Row],[TotalPrice]]), "True", "False")</f>
        <v>True</v>
      </c>
      <c r="P775" t="str">
        <f>IF((Sheet1[[#This Row],[ItemsInCart]]&gt;=Sheet1[[#This Row],[Quantity]]), "Good", "Bad")</f>
        <v>Good</v>
      </c>
      <c r="Q775" t="str">
        <f t="shared" si="60"/>
        <v>OK</v>
      </c>
      <c r="R775" t="str">
        <f t="shared" si="61"/>
        <v>BAD</v>
      </c>
      <c r="S775">
        <f t="shared" si="62"/>
        <v>0</v>
      </c>
      <c r="T775">
        <f t="shared" si="63"/>
        <v>1</v>
      </c>
      <c r="U775" t="str">
        <f t="shared" si="64"/>
        <v>REVIEW_RETURN</v>
      </c>
    </row>
    <row r="776" spans="1:21">
      <c r="A776" t="s">
        <v>788</v>
      </c>
      <c r="B776" t="s">
        <v>4481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 t="str">
        <f>IF((Sheet1[[#This Row],[Quantity]]*Sheet1[[#This Row],[UnitPrice]])=(Sheet1[[#This Row],[TotalPrice]]), "True", "False")</f>
        <v>True</v>
      </c>
      <c r="P776" t="str">
        <f>IF((Sheet1[[#This Row],[ItemsInCart]]&gt;=Sheet1[[#This Row],[Quantity]]), "Good", "Bad")</f>
        <v>Good</v>
      </c>
      <c r="Q776" t="str">
        <f t="shared" si="60"/>
        <v>OK</v>
      </c>
      <c r="R776" t="str">
        <f t="shared" si="61"/>
        <v>BAD</v>
      </c>
      <c r="S776">
        <f t="shared" si="62"/>
        <v>0</v>
      </c>
      <c r="T776">
        <f t="shared" si="63"/>
        <v>1</v>
      </c>
      <c r="U776" t="str">
        <f t="shared" si="64"/>
        <v>REVIEW_RETURN</v>
      </c>
    </row>
    <row r="777" spans="1:21">
      <c r="A777" t="s">
        <v>789</v>
      </c>
      <c r="B777" t="s">
        <v>4473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4961</v>
      </c>
      <c r="M777" t="s">
        <v>4282</v>
      </c>
      <c r="N777">
        <v>1250.44</v>
      </c>
      <c r="O777" t="str">
        <f>IF((Sheet1[[#This Row],[Quantity]]*Sheet1[[#This Row],[UnitPrice]])=(Sheet1[[#This Row],[TotalPrice]]), "True", "False")</f>
        <v>True</v>
      </c>
      <c r="P777" t="str">
        <f>IF((Sheet1[[#This Row],[ItemsInCart]]&gt;=Sheet1[[#This Row],[Quantity]]), "Good", "Bad")</f>
        <v>Good</v>
      </c>
      <c r="Q777" t="str">
        <f t="shared" si="60"/>
        <v>OK</v>
      </c>
      <c r="R777" t="str">
        <f t="shared" si="61"/>
        <v>BAD</v>
      </c>
      <c r="S777">
        <f t="shared" si="62"/>
        <v>0</v>
      </c>
      <c r="T777">
        <f t="shared" si="63"/>
        <v>1</v>
      </c>
      <c r="U777" t="str">
        <f t="shared" si="64"/>
        <v>REVIEW_RETURN</v>
      </c>
    </row>
    <row r="778" spans="1:21">
      <c r="A778" t="s">
        <v>790</v>
      </c>
      <c r="B778" t="s">
        <v>4814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 t="str">
        <f>IF((Sheet1[[#This Row],[Quantity]]*Sheet1[[#This Row],[UnitPrice]])=(Sheet1[[#This Row],[TotalPrice]]), "True", "False")</f>
        <v>True</v>
      </c>
      <c r="P778" t="str">
        <f>IF((Sheet1[[#This Row],[ItemsInCart]]&gt;=Sheet1[[#This Row],[Quantity]]), "Good", "Bad")</f>
        <v>Good</v>
      </c>
      <c r="Q778" t="str">
        <f t="shared" si="60"/>
        <v>OK</v>
      </c>
      <c r="R778" t="str">
        <f t="shared" si="61"/>
        <v>GOOD</v>
      </c>
      <c r="S778">
        <f t="shared" si="62"/>
        <v>0</v>
      </c>
      <c r="T778">
        <f t="shared" si="63"/>
        <v>0</v>
      </c>
      <c r="U778" t="str">
        <f t="shared" si="64"/>
        <v>OK</v>
      </c>
    </row>
    <row r="779" spans="1:21">
      <c r="A779" t="s">
        <v>791</v>
      </c>
      <c r="B779" t="s">
        <v>4721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4961</v>
      </c>
      <c r="M779" t="s">
        <v>4281</v>
      </c>
      <c r="N779">
        <v>322.45</v>
      </c>
      <c r="O779" t="str">
        <f>IF((Sheet1[[#This Row],[Quantity]]*Sheet1[[#This Row],[UnitPrice]])=(Sheet1[[#This Row],[TotalPrice]]), "True", "False")</f>
        <v>True</v>
      </c>
      <c r="P779" t="str">
        <f>IF((Sheet1[[#This Row],[ItemsInCart]]&gt;=Sheet1[[#This Row],[Quantity]]), "Good", "Bad")</f>
        <v>Good</v>
      </c>
      <c r="Q779" t="str">
        <f t="shared" si="60"/>
        <v>OK</v>
      </c>
      <c r="R779" t="str">
        <f t="shared" si="61"/>
        <v>BAD</v>
      </c>
      <c r="S779">
        <f t="shared" si="62"/>
        <v>0</v>
      </c>
      <c r="T779">
        <f t="shared" si="63"/>
        <v>1</v>
      </c>
      <c r="U779" t="str">
        <f t="shared" si="64"/>
        <v>REVIEW_RETURN</v>
      </c>
    </row>
    <row r="780" spans="1:21">
      <c r="A780" t="s">
        <v>792</v>
      </c>
      <c r="B780" t="s">
        <v>4483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 t="str">
        <f>IF((Sheet1[[#This Row],[Quantity]]*Sheet1[[#This Row],[UnitPrice]])=(Sheet1[[#This Row],[TotalPrice]]), "True", "False")</f>
        <v>True</v>
      </c>
      <c r="P780" t="str">
        <f>IF((Sheet1[[#This Row],[ItemsInCart]]&gt;=Sheet1[[#This Row],[Quantity]]), "Good", "Bad")</f>
        <v>Good</v>
      </c>
      <c r="Q780" t="str">
        <f t="shared" si="60"/>
        <v>OK</v>
      </c>
      <c r="R780" t="str">
        <f t="shared" si="61"/>
        <v>GOOD</v>
      </c>
      <c r="S780">
        <f t="shared" si="62"/>
        <v>0</v>
      </c>
      <c r="T780">
        <f t="shared" si="63"/>
        <v>0</v>
      </c>
      <c r="U780" t="str">
        <f t="shared" si="64"/>
        <v>OK</v>
      </c>
    </row>
    <row r="781" spans="1:21">
      <c r="A781" t="s">
        <v>793</v>
      </c>
      <c r="B781" t="s">
        <v>4425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 t="str">
        <f>IF((Sheet1[[#This Row],[Quantity]]*Sheet1[[#This Row],[UnitPrice]])=(Sheet1[[#This Row],[TotalPrice]]), "True", "False")</f>
        <v>True</v>
      </c>
      <c r="P781" t="str">
        <f>IF((Sheet1[[#This Row],[ItemsInCart]]&gt;=Sheet1[[#This Row],[Quantity]]), "Good", "Bad")</f>
        <v>Good</v>
      </c>
      <c r="Q781" t="str">
        <f t="shared" si="60"/>
        <v>OK</v>
      </c>
      <c r="R781" t="str">
        <f t="shared" si="61"/>
        <v>BAD</v>
      </c>
      <c r="S781">
        <f t="shared" si="62"/>
        <v>0</v>
      </c>
      <c r="T781">
        <f t="shared" si="63"/>
        <v>1</v>
      </c>
      <c r="U781" t="str">
        <f t="shared" si="64"/>
        <v>DOCUMENTED</v>
      </c>
    </row>
    <row r="782" spans="1:21">
      <c r="A782" t="s">
        <v>794</v>
      </c>
      <c r="B782" t="s">
        <v>4357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 t="str">
        <f>IF((Sheet1[[#This Row],[Quantity]]*Sheet1[[#This Row],[UnitPrice]])=(Sheet1[[#This Row],[TotalPrice]]), "True", "False")</f>
        <v>True</v>
      </c>
      <c r="P782" t="str">
        <f>IF((Sheet1[[#This Row],[ItemsInCart]]&gt;=Sheet1[[#This Row],[Quantity]]), "Good", "Bad")</f>
        <v>Good</v>
      </c>
      <c r="Q782" t="str">
        <f t="shared" si="60"/>
        <v>OK</v>
      </c>
      <c r="R782" t="str">
        <f t="shared" si="61"/>
        <v>BAD</v>
      </c>
      <c r="S782">
        <f t="shared" si="62"/>
        <v>0</v>
      </c>
      <c r="T782">
        <f t="shared" si="63"/>
        <v>1</v>
      </c>
      <c r="U782" t="str">
        <f t="shared" si="64"/>
        <v>REVIEW_RETURN</v>
      </c>
    </row>
    <row r="783" spans="1:21">
      <c r="A783" t="s">
        <v>795</v>
      </c>
      <c r="B783" t="s">
        <v>4815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 t="str">
        <f>IF((Sheet1[[#This Row],[Quantity]]*Sheet1[[#This Row],[UnitPrice]])=(Sheet1[[#This Row],[TotalPrice]]), "True", "False")</f>
        <v>True</v>
      </c>
      <c r="P783" t="str">
        <f>IF((Sheet1[[#This Row],[ItemsInCart]]&gt;=Sheet1[[#This Row],[Quantity]]), "Good", "Bad")</f>
        <v>Good</v>
      </c>
      <c r="Q783" t="str">
        <f t="shared" si="60"/>
        <v>OK</v>
      </c>
      <c r="R783" t="str">
        <f t="shared" si="61"/>
        <v>GOOD</v>
      </c>
      <c r="S783">
        <f t="shared" si="62"/>
        <v>0</v>
      </c>
      <c r="T783">
        <f t="shared" si="63"/>
        <v>0</v>
      </c>
      <c r="U783" t="str">
        <f t="shared" si="64"/>
        <v>OK</v>
      </c>
    </row>
    <row r="784" spans="1:21">
      <c r="A784" t="s">
        <v>796</v>
      </c>
      <c r="B784" t="s">
        <v>4816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 t="str">
        <f>IF((Sheet1[[#This Row],[Quantity]]*Sheet1[[#This Row],[UnitPrice]])=(Sheet1[[#This Row],[TotalPrice]]), "True", "False")</f>
        <v>True</v>
      </c>
      <c r="P784" t="str">
        <f>IF((Sheet1[[#This Row],[ItemsInCart]]&gt;=Sheet1[[#This Row],[Quantity]]), "Good", "Bad")</f>
        <v>Good</v>
      </c>
      <c r="Q784" t="str">
        <f t="shared" si="60"/>
        <v>OK</v>
      </c>
      <c r="R784" t="str">
        <f t="shared" si="61"/>
        <v>GOOD</v>
      </c>
      <c r="S784">
        <f t="shared" si="62"/>
        <v>0</v>
      </c>
      <c r="T784">
        <f t="shared" si="63"/>
        <v>0</v>
      </c>
      <c r="U784" t="str">
        <f t="shared" si="64"/>
        <v>OK</v>
      </c>
    </row>
    <row r="785" spans="1:21">
      <c r="A785" t="s">
        <v>797</v>
      </c>
      <c r="B785" t="s">
        <v>4817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 t="str">
        <f>IF((Sheet1[[#This Row],[Quantity]]*Sheet1[[#This Row],[UnitPrice]])=(Sheet1[[#This Row],[TotalPrice]]), "True", "False")</f>
        <v>True</v>
      </c>
      <c r="P785" t="str">
        <f>IF((Sheet1[[#This Row],[ItemsInCart]]&gt;=Sheet1[[#This Row],[Quantity]]), "Good", "Bad")</f>
        <v>Good</v>
      </c>
      <c r="Q785" t="str">
        <f t="shared" si="60"/>
        <v>OK</v>
      </c>
      <c r="R785" t="str">
        <f t="shared" si="61"/>
        <v>GOOD</v>
      </c>
      <c r="S785">
        <f t="shared" si="62"/>
        <v>0</v>
      </c>
      <c r="T785">
        <f t="shared" si="63"/>
        <v>0</v>
      </c>
      <c r="U785" t="str">
        <f t="shared" si="64"/>
        <v>OK</v>
      </c>
    </row>
    <row r="786" spans="1:21">
      <c r="A786" t="s">
        <v>798</v>
      </c>
      <c r="B786" t="s">
        <v>4818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 t="str">
        <f>IF((Sheet1[[#This Row],[Quantity]]*Sheet1[[#This Row],[UnitPrice]])=(Sheet1[[#This Row],[TotalPrice]]), "True", "False")</f>
        <v>True</v>
      </c>
      <c r="P786" t="str">
        <f>IF((Sheet1[[#This Row],[ItemsInCart]]&gt;=Sheet1[[#This Row],[Quantity]]), "Good", "Bad")</f>
        <v>Good</v>
      </c>
      <c r="Q786" t="str">
        <f t="shared" si="60"/>
        <v>OK</v>
      </c>
      <c r="R786" t="str">
        <f t="shared" si="61"/>
        <v>BAD</v>
      </c>
      <c r="S786">
        <f t="shared" si="62"/>
        <v>0</v>
      </c>
      <c r="T786">
        <f t="shared" si="63"/>
        <v>1</v>
      </c>
      <c r="U786" t="str">
        <f t="shared" si="64"/>
        <v>DOCUMENTED</v>
      </c>
    </row>
    <row r="787" spans="1:21">
      <c r="A787" t="s">
        <v>799</v>
      </c>
      <c r="B787" t="s">
        <v>4819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 t="str">
        <f>IF((Sheet1[[#This Row],[Quantity]]*Sheet1[[#This Row],[UnitPrice]])=(Sheet1[[#This Row],[TotalPrice]]), "True", "False")</f>
        <v>True</v>
      </c>
      <c r="P787" t="str">
        <f>IF((Sheet1[[#This Row],[ItemsInCart]]&gt;=Sheet1[[#This Row],[Quantity]]), "Good", "Bad")</f>
        <v>Good</v>
      </c>
      <c r="Q787" t="str">
        <f t="shared" si="60"/>
        <v>OK</v>
      </c>
      <c r="R787" t="str">
        <f t="shared" si="61"/>
        <v>BAD</v>
      </c>
      <c r="S787">
        <f t="shared" si="62"/>
        <v>0</v>
      </c>
      <c r="T787">
        <f t="shared" si="63"/>
        <v>1</v>
      </c>
      <c r="U787" t="str">
        <f t="shared" si="64"/>
        <v>DOCUMENTED</v>
      </c>
    </row>
    <row r="788" spans="1:21">
      <c r="A788" t="s">
        <v>800</v>
      </c>
      <c r="B788" t="s">
        <v>4704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4961</v>
      </c>
      <c r="M788" t="s">
        <v>4279</v>
      </c>
      <c r="N788">
        <v>226.55</v>
      </c>
      <c r="O788" t="str">
        <f>IF((Sheet1[[#This Row],[Quantity]]*Sheet1[[#This Row],[UnitPrice]])=(Sheet1[[#This Row],[TotalPrice]]), "True", "False")</f>
        <v>True</v>
      </c>
      <c r="P788" t="str">
        <f>IF((Sheet1[[#This Row],[ItemsInCart]]&gt;=Sheet1[[#This Row],[Quantity]]), "Good", "Bad")</f>
        <v>Good</v>
      </c>
      <c r="Q788" t="str">
        <f t="shared" si="60"/>
        <v>OK</v>
      </c>
      <c r="R788" t="str">
        <f t="shared" si="61"/>
        <v>BAD</v>
      </c>
      <c r="S788">
        <f t="shared" si="62"/>
        <v>0</v>
      </c>
      <c r="T788">
        <f t="shared" si="63"/>
        <v>1</v>
      </c>
      <c r="U788" t="str">
        <f t="shared" si="64"/>
        <v>REVIEW_RETURN</v>
      </c>
    </row>
    <row r="789" spans="1:21">
      <c r="A789" t="s">
        <v>801</v>
      </c>
      <c r="B789" t="s">
        <v>4820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4961</v>
      </c>
      <c r="M789" t="s">
        <v>4282</v>
      </c>
      <c r="N789">
        <v>887.84</v>
      </c>
      <c r="O789" t="str">
        <f>IF((Sheet1[[#This Row],[Quantity]]*Sheet1[[#This Row],[UnitPrice]])=(Sheet1[[#This Row],[TotalPrice]]), "True", "False")</f>
        <v>True</v>
      </c>
      <c r="P789" t="str">
        <f>IF((Sheet1[[#This Row],[ItemsInCart]]&gt;=Sheet1[[#This Row],[Quantity]]), "Good", "Bad")</f>
        <v>Good</v>
      </c>
      <c r="Q789" t="str">
        <f t="shared" si="60"/>
        <v>OK</v>
      </c>
      <c r="R789" t="str">
        <f t="shared" si="61"/>
        <v>GOOD</v>
      </c>
      <c r="S789">
        <f t="shared" si="62"/>
        <v>0</v>
      </c>
      <c r="T789">
        <f t="shared" si="63"/>
        <v>0</v>
      </c>
      <c r="U789" t="str">
        <f t="shared" si="64"/>
        <v>OK</v>
      </c>
    </row>
    <row r="790" spans="1:21">
      <c r="A790" t="s">
        <v>802</v>
      </c>
      <c r="B790" t="s">
        <v>4491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 t="str">
        <f>IF((Sheet1[[#This Row],[Quantity]]*Sheet1[[#This Row],[UnitPrice]])=(Sheet1[[#This Row],[TotalPrice]]), "True", "False")</f>
        <v>True</v>
      </c>
      <c r="P790" t="str">
        <f>IF((Sheet1[[#This Row],[ItemsInCart]]&gt;=Sheet1[[#This Row],[Quantity]]), "Good", "Bad")</f>
        <v>Good</v>
      </c>
      <c r="Q790" t="str">
        <f t="shared" si="60"/>
        <v>OK</v>
      </c>
      <c r="R790" t="str">
        <f t="shared" si="61"/>
        <v>BAD</v>
      </c>
      <c r="S790">
        <f t="shared" si="62"/>
        <v>0</v>
      </c>
      <c r="T790">
        <f t="shared" si="63"/>
        <v>1</v>
      </c>
      <c r="U790" t="str">
        <f t="shared" si="64"/>
        <v>DOCUMENTED</v>
      </c>
    </row>
    <row r="791" spans="1:21">
      <c r="A791" t="s">
        <v>803</v>
      </c>
      <c r="B791" t="s">
        <v>4821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 t="str">
        <f>IF((Sheet1[[#This Row],[Quantity]]*Sheet1[[#This Row],[UnitPrice]])=(Sheet1[[#This Row],[TotalPrice]]), "True", "False")</f>
        <v>True</v>
      </c>
      <c r="P791" t="str">
        <f>IF((Sheet1[[#This Row],[ItemsInCart]]&gt;=Sheet1[[#This Row],[Quantity]]), "Good", "Bad")</f>
        <v>Good</v>
      </c>
      <c r="Q791" t="str">
        <f t="shared" si="60"/>
        <v>OK</v>
      </c>
      <c r="R791" t="str">
        <f t="shared" si="61"/>
        <v>GOOD</v>
      </c>
      <c r="S791">
        <f t="shared" si="62"/>
        <v>0</v>
      </c>
      <c r="T791">
        <f t="shared" si="63"/>
        <v>0</v>
      </c>
      <c r="U791" t="str">
        <f t="shared" si="64"/>
        <v>OK</v>
      </c>
    </row>
    <row r="792" spans="1:21">
      <c r="A792" t="s">
        <v>804</v>
      </c>
      <c r="B792" t="s">
        <v>4437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4961</v>
      </c>
      <c r="M792" t="s">
        <v>4282</v>
      </c>
      <c r="N792">
        <v>1671.56</v>
      </c>
      <c r="O792" t="str">
        <f>IF((Sheet1[[#This Row],[Quantity]]*Sheet1[[#This Row],[UnitPrice]])=(Sheet1[[#This Row],[TotalPrice]]), "True", "False")</f>
        <v>True</v>
      </c>
      <c r="P792" t="str">
        <f>IF((Sheet1[[#This Row],[ItemsInCart]]&gt;=Sheet1[[#This Row],[Quantity]]), "Good", "Bad")</f>
        <v>Good</v>
      </c>
      <c r="Q792" t="str">
        <f t="shared" si="60"/>
        <v>OK</v>
      </c>
      <c r="R792" t="str">
        <f t="shared" si="61"/>
        <v>BAD</v>
      </c>
      <c r="S792">
        <f t="shared" si="62"/>
        <v>0</v>
      </c>
      <c r="T792">
        <f t="shared" si="63"/>
        <v>1</v>
      </c>
      <c r="U792" t="str">
        <f t="shared" si="64"/>
        <v>DOCUMENTED</v>
      </c>
    </row>
    <row r="793" spans="1:21">
      <c r="A793" t="s">
        <v>805</v>
      </c>
      <c r="B793" t="s">
        <v>4822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4961</v>
      </c>
      <c r="M793" t="s">
        <v>4280</v>
      </c>
      <c r="N793">
        <v>1637.12</v>
      </c>
      <c r="O793" t="str">
        <f>IF((Sheet1[[#This Row],[Quantity]]*Sheet1[[#This Row],[UnitPrice]])=(Sheet1[[#This Row],[TotalPrice]]), "True", "False")</f>
        <v>True</v>
      </c>
      <c r="P793" t="str">
        <f>IF((Sheet1[[#This Row],[ItemsInCart]]&gt;=Sheet1[[#This Row],[Quantity]]), "Good", "Bad")</f>
        <v>Good</v>
      </c>
      <c r="Q793" t="str">
        <f t="shared" si="60"/>
        <v>OK</v>
      </c>
      <c r="R793" t="str">
        <f t="shared" si="61"/>
        <v>BAD</v>
      </c>
      <c r="S793">
        <f t="shared" si="62"/>
        <v>0</v>
      </c>
      <c r="T793">
        <f t="shared" si="63"/>
        <v>1</v>
      </c>
      <c r="U793" t="str">
        <f t="shared" si="64"/>
        <v>DOCUMENTED</v>
      </c>
    </row>
    <row r="794" spans="1:21">
      <c r="A794" t="s">
        <v>806</v>
      </c>
      <c r="B794" t="s">
        <v>4662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 t="str">
        <f>IF((Sheet1[[#This Row],[Quantity]]*Sheet1[[#This Row],[UnitPrice]])=(Sheet1[[#This Row],[TotalPrice]]), "True", "False")</f>
        <v>True</v>
      </c>
      <c r="P794" t="str">
        <f>IF((Sheet1[[#This Row],[ItemsInCart]]&gt;=Sheet1[[#This Row],[Quantity]]), "Good", "Bad")</f>
        <v>Good</v>
      </c>
      <c r="Q794" t="str">
        <f t="shared" si="60"/>
        <v>OK</v>
      </c>
      <c r="R794" t="str">
        <f t="shared" si="61"/>
        <v>GOOD</v>
      </c>
      <c r="S794">
        <f t="shared" si="62"/>
        <v>0</v>
      </c>
      <c r="T794">
        <f t="shared" si="63"/>
        <v>0</v>
      </c>
      <c r="U794" t="str">
        <f t="shared" si="64"/>
        <v>OK</v>
      </c>
    </row>
    <row r="795" spans="1:21">
      <c r="A795" t="s">
        <v>807</v>
      </c>
      <c r="B795" t="s">
        <v>4399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4961</v>
      </c>
      <c r="M795" t="s">
        <v>4279</v>
      </c>
      <c r="N795">
        <v>851.1</v>
      </c>
      <c r="O795" t="str">
        <f>IF((Sheet1[[#This Row],[Quantity]]*Sheet1[[#This Row],[UnitPrice]])=(Sheet1[[#This Row],[TotalPrice]]), "True", "False")</f>
        <v>True</v>
      </c>
      <c r="P795" t="str">
        <f>IF((Sheet1[[#This Row],[ItemsInCart]]&gt;=Sheet1[[#This Row],[Quantity]]), "Good", "Bad")</f>
        <v>Good</v>
      </c>
      <c r="Q795" t="str">
        <f t="shared" si="60"/>
        <v>OK</v>
      </c>
      <c r="R795" t="str">
        <f t="shared" si="61"/>
        <v>GOOD</v>
      </c>
      <c r="S795">
        <f t="shared" si="62"/>
        <v>0</v>
      </c>
      <c r="T795">
        <f t="shared" si="63"/>
        <v>0</v>
      </c>
      <c r="U795" t="str">
        <f t="shared" si="64"/>
        <v>OK</v>
      </c>
    </row>
    <row r="796" spans="1:21">
      <c r="A796" t="s">
        <v>808</v>
      </c>
      <c r="B796" t="s">
        <v>4621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 t="str">
        <f>IF((Sheet1[[#This Row],[Quantity]]*Sheet1[[#This Row],[UnitPrice]])=(Sheet1[[#This Row],[TotalPrice]]), "True", "False")</f>
        <v>True</v>
      </c>
      <c r="P796" t="str">
        <f>IF((Sheet1[[#This Row],[ItemsInCart]]&gt;=Sheet1[[#This Row],[Quantity]]), "Good", "Bad")</f>
        <v>Good</v>
      </c>
      <c r="Q796" t="str">
        <f t="shared" si="60"/>
        <v>OK</v>
      </c>
      <c r="R796" t="str">
        <f t="shared" si="61"/>
        <v>GOOD</v>
      </c>
      <c r="S796">
        <f t="shared" si="62"/>
        <v>0</v>
      </c>
      <c r="T796">
        <f t="shared" si="63"/>
        <v>0</v>
      </c>
      <c r="U796" t="str">
        <f t="shared" si="64"/>
        <v>OK</v>
      </c>
    </row>
    <row r="797" spans="1:21">
      <c r="A797" t="s">
        <v>809</v>
      </c>
      <c r="B797" t="s">
        <v>4823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 t="str">
        <f>IF((Sheet1[[#This Row],[Quantity]]*Sheet1[[#This Row],[UnitPrice]])=(Sheet1[[#This Row],[TotalPrice]]), "True", "False")</f>
        <v>True</v>
      </c>
      <c r="P797" t="str">
        <f>IF((Sheet1[[#This Row],[ItemsInCart]]&gt;=Sheet1[[#This Row],[Quantity]]), "Good", "Bad")</f>
        <v>Good</v>
      </c>
      <c r="Q797" t="str">
        <f t="shared" si="60"/>
        <v>OK</v>
      </c>
      <c r="R797" t="str">
        <f t="shared" si="61"/>
        <v>BAD</v>
      </c>
      <c r="S797">
        <f t="shared" si="62"/>
        <v>0</v>
      </c>
      <c r="T797">
        <f t="shared" si="63"/>
        <v>1</v>
      </c>
      <c r="U797" t="str">
        <f t="shared" si="64"/>
        <v>DOCUMENTED</v>
      </c>
    </row>
    <row r="798" spans="1:21">
      <c r="A798" t="s">
        <v>810</v>
      </c>
      <c r="B798" t="s">
        <v>4824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 t="str">
        <f>IF((Sheet1[[#This Row],[Quantity]]*Sheet1[[#This Row],[UnitPrice]])=(Sheet1[[#This Row],[TotalPrice]]), "True", "False")</f>
        <v>True</v>
      </c>
      <c r="P798" t="str">
        <f>IF((Sheet1[[#This Row],[ItemsInCart]]&gt;=Sheet1[[#This Row],[Quantity]]), "Good", "Bad")</f>
        <v>Good</v>
      </c>
      <c r="Q798" t="str">
        <f t="shared" si="60"/>
        <v>OK</v>
      </c>
      <c r="R798" t="str">
        <f t="shared" si="61"/>
        <v>GOOD</v>
      </c>
      <c r="S798">
        <f t="shared" si="62"/>
        <v>0</v>
      </c>
      <c r="T798">
        <f t="shared" si="63"/>
        <v>0</v>
      </c>
      <c r="U798" t="str">
        <f t="shared" si="64"/>
        <v>OK</v>
      </c>
    </row>
    <row r="799" spans="1:21">
      <c r="A799" t="s">
        <v>811</v>
      </c>
      <c r="B799" t="s">
        <v>4429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4961</v>
      </c>
      <c r="M799" t="s">
        <v>4281</v>
      </c>
      <c r="N799">
        <v>877.52</v>
      </c>
      <c r="O799" t="str">
        <f>IF((Sheet1[[#This Row],[Quantity]]*Sheet1[[#This Row],[UnitPrice]])=(Sheet1[[#This Row],[TotalPrice]]), "True", "False")</f>
        <v>True</v>
      </c>
      <c r="P799" t="str">
        <f>IF((Sheet1[[#This Row],[ItemsInCart]]&gt;=Sheet1[[#This Row],[Quantity]]), "Good", "Bad")</f>
        <v>Good</v>
      </c>
      <c r="Q799" t="str">
        <f t="shared" si="60"/>
        <v>OK</v>
      </c>
      <c r="R799" t="str">
        <f t="shared" si="61"/>
        <v>GOOD</v>
      </c>
      <c r="S799">
        <f t="shared" si="62"/>
        <v>0</v>
      </c>
      <c r="T799">
        <f t="shared" si="63"/>
        <v>0</v>
      </c>
      <c r="U799" t="str">
        <f t="shared" si="64"/>
        <v>OK</v>
      </c>
    </row>
    <row r="800" spans="1:21">
      <c r="A800" t="s">
        <v>812</v>
      </c>
      <c r="B800" t="s">
        <v>4825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 t="str">
        <f>IF((Sheet1[[#This Row],[Quantity]]*Sheet1[[#This Row],[UnitPrice]])=(Sheet1[[#This Row],[TotalPrice]]), "True", "False")</f>
        <v>True</v>
      </c>
      <c r="P800" t="str">
        <f>IF((Sheet1[[#This Row],[ItemsInCart]]&gt;=Sheet1[[#This Row],[Quantity]]), "Good", "Bad")</f>
        <v>Good</v>
      </c>
      <c r="Q800" t="str">
        <f t="shared" si="60"/>
        <v>OK</v>
      </c>
      <c r="R800" t="str">
        <f t="shared" si="61"/>
        <v>GOOD</v>
      </c>
      <c r="S800">
        <f t="shared" si="62"/>
        <v>0</v>
      </c>
      <c r="T800">
        <f t="shared" si="63"/>
        <v>0</v>
      </c>
      <c r="U800" t="str">
        <f t="shared" si="64"/>
        <v>OK</v>
      </c>
    </row>
    <row r="801" spans="1:21">
      <c r="A801" t="s">
        <v>813</v>
      </c>
      <c r="B801" t="s">
        <v>4680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 t="str">
        <f>IF((Sheet1[[#This Row],[Quantity]]*Sheet1[[#This Row],[UnitPrice]])=(Sheet1[[#This Row],[TotalPrice]]), "True", "False")</f>
        <v>True</v>
      </c>
      <c r="P801" t="str">
        <f>IF((Sheet1[[#This Row],[ItemsInCart]]&gt;=Sheet1[[#This Row],[Quantity]]), "Good", "Bad")</f>
        <v>Good</v>
      </c>
      <c r="Q801" t="str">
        <f t="shared" si="60"/>
        <v>OK</v>
      </c>
      <c r="R801" t="str">
        <f t="shared" si="61"/>
        <v>GOOD</v>
      </c>
      <c r="S801">
        <f t="shared" si="62"/>
        <v>0</v>
      </c>
      <c r="T801">
        <f t="shared" si="63"/>
        <v>0</v>
      </c>
      <c r="U801" t="str">
        <f t="shared" si="64"/>
        <v>OK</v>
      </c>
    </row>
    <row r="802" spans="1:21">
      <c r="A802" t="s">
        <v>814</v>
      </c>
      <c r="B802" t="s">
        <v>4493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 t="str">
        <f>IF((Sheet1[[#This Row],[Quantity]]*Sheet1[[#This Row],[UnitPrice]])=(Sheet1[[#This Row],[TotalPrice]]), "True", "False")</f>
        <v>True</v>
      </c>
      <c r="P802" t="str">
        <f>IF((Sheet1[[#This Row],[ItemsInCart]]&gt;=Sheet1[[#This Row],[Quantity]]), "Good", "Bad")</f>
        <v>Good</v>
      </c>
      <c r="Q802" t="str">
        <f t="shared" si="60"/>
        <v>OK</v>
      </c>
      <c r="R802" t="str">
        <f t="shared" si="61"/>
        <v>GOOD</v>
      </c>
      <c r="S802">
        <f t="shared" si="62"/>
        <v>0</v>
      </c>
      <c r="T802">
        <f t="shared" si="63"/>
        <v>0</v>
      </c>
      <c r="U802" t="str">
        <f t="shared" si="64"/>
        <v>OK</v>
      </c>
    </row>
    <row r="803" spans="1:21">
      <c r="A803" t="s">
        <v>815</v>
      </c>
      <c r="B803" t="s">
        <v>4354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 t="str">
        <f>IF((Sheet1[[#This Row],[Quantity]]*Sheet1[[#This Row],[UnitPrice]])=(Sheet1[[#This Row],[TotalPrice]]), "True", "False")</f>
        <v>True</v>
      </c>
      <c r="P803" t="str">
        <f>IF((Sheet1[[#This Row],[ItemsInCart]]&gt;=Sheet1[[#This Row],[Quantity]]), "Good", "Bad")</f>
        <v>Good</v>
      </c>
      <c r="Q803" t="str">
        <f t="shared" si="60"/>
        <v>OK</v>
      </c>
      <c r="R803" t="str">
        <f t="shared" si="61"/>
        <v>BAD</v>
      </c>
      <c r="S803">
        <f t="shared" si="62"/>
        <v>0</v>
      </c>
      <c r="T803">
        <f t="shared" si="63"/>
        <v>1</v>
      </c>
      <c r="U803" t="str">
        <f t="shared" si="64"/>
        <v>DOCUMENTED</v>
      </c>
    </row>
    <row r="804" spans="1:21">
      <c r="A804" t="s">
        <v>816</v>
      </c>
      <c r="B804" t="s">
        <v>4294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 t="str">
        <f>IF((Sheet1[[#This Row],[Quantity]]*Sheet1[[#This Row],[UnitPrice]])=(Sheet1[[#This Row],[TotalPrice]]), "True", "False")</f>
        <v>True</v>
      </c>
      <c r="P804" t="str">
        <f>IF((Sheet1[[#This Row],[ItemsInCart]]&gt;=Sheet1[[#This Row],[Quantity]]), "Good", "Bad")</f>
        <v>Good</v>
      </c>
      <c r="Q804" t="str">
        <f t="shared" si="60"/>
        <v>OK</v>
      </c>
      <c r="R804" t="str">
        <f t="shared" si="61"/>
        <v>BAD</v>
      </c>
      <c r="S804">
        <f t="shared" si="62"/>
        <v>0</v>
      </c>
      <c r="T804">
        <f t="shared" si="63"/>
        <v>1</v>
      </c>
      <c r="U804" t="str">
        <f t="shared" si="64"/>
        <v>REVIEW_RETURN</v>
      </c>
    </row>
    <row r="805" spans="1:21">
      <c r="A805" t="s">
        <v>817</v>
      </c>
      <c r="B805" t="s">
        <v>4321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 t="str">
        <f>IF((Sheet1[[#This Row],[Quantity]]*Sheet1[[#This Row],[UnitPrice]])=(Sheet1[[#This Row],[TotalPrice]]), "True", "False")</f>
        <v>True</v>
      </c>
      <c r="P805" t="str">
        <f>IF((Sheet1[[#This Row],[ItemsInCart]]&gt;=Sheet1[[#This Row],[Quantity]]), "Good", "Bad")</f>
        <v>Good</v>
      </c>
      <c r="Q805" t="str">
        <f t="shared" si="60"/>
        <v>OK</v>
      </c>
      <c r="R805" t="str">
        <f t="shared" si="61"/>
        <v>GOOD</v>
      </c>
      <c r="S805">
        <f t="shared" si="62"/>
        <v>0</v>
      </c>
      <c r="T805">
        <f t="shared" si="63"/>
        <v>0</v>
      </c>
      <c r="U805" t="str">
        <f t="shared" si="64"/>
        <v>OK</v>
      </c>
    </row>
    <row r="806" spans="1:21">
      <c r="A806" t="s">
        <v>818</v>
      </c>
      <c r="B806" t="s">
        <v>4826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 t="str">
        <f>IF((Sheet1[[#This Row],[Quantity]]*Sheet1[[#This Row],[UnitPrice]])=(Sheet1[[#This Row],[TotalPrice]]), "True", "False")</f>
        <v>True</v>
      </c>
      <c r="P806" t="str">
        <f>IF((Sheet1[[#This Row],[ItemsInCart]]&gt;=Sheet1[[#This Row],[Quantity]]), "Good", "Bad")</f>
        <v>Good</v>
      </c>
      <c r="Q806" t="str">
        <f t="shared" si="60"/>
        <v>OK</v>
      </c>
      <c r="R806" t="str">
        <f t="shared" si="61"/>
        <v>GOOD</v>
      </c>
      <c r="S806">
        <f t="shared" si="62"/>
        <v>0</v>
      </c>
      <c r="T806">
        <f t="shared" si="63"/>
        <v>0</v>
      </c>
      <c r="U806" t="str">
        <f t="shared" si="64"/>
        <v>OK</v>
      </c>
    </row>
    <row r="807" spans="1:21">
      <c r="A807" t="s">
        <v>819</v>
      </c>
      <c r="B807" t="s">
        <v>4295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 t="str">
        <f>IF((Sheet1[[#This Row],[Quantity]]*Sheet1[[#This Row],[UnitPrice]])=(Sheet1[[#This Row],[TotalPrice]]), "True", "False")</f>
        <v>True</v>
      </c>
      <c r="P807" t="str">
        <f>IF((Sheet1[[#This Row],[ItemsInCart]]&gt;=Sheet1[[#This Row],[Quantity]]), "Good", "Bad")</f>
        <v>Good</v>
      </c>
      <c r="Q807" t="str">
        <f t="shared" si="60"/>
        <v>OK</v>
      </c>
      <c r="R807" t="str">
        <f t="shared" si="61"/>
        <v>BAD</v>
      </c>
      <c r="S807">
        <f t="shared" si="62"/>
        <v>0</v>
      </c>
      <c r="T807">
        <f t="shared" si="63"/>
        <v>1</v>
      </c>
      <c r="U807" t="str">
        <f t="shared" si="64"/>
        <v>REVIEW_RETURN</v>
      </c>
    </row>
    <row r="808" spans="1:21">
      <c r="A808" t="s">
        <v>820</v>
      </c>
      <c r="B808" t="s">
        <v>4827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 t="str">
        <f>IF((Sheet1[[#This Row],[Quantity]]*Sheet1[[#This Row],[UnitPrice]])=(Sheet1[[#This Row],[TotalPrice]]), "True", "False")</f>
        <v>True</v>
      </c>
      <c r="P808" t="str">
        <f>IF((Sheet1[[#This Row],[ItemsInCart]]&gt;=Sheet1[[#This Row],[Quantity]]), "Good", "Bad")</f>
        <v>Good</v>
      </c>
      <c r="Q808" t="str">
        <f t="shared" si="60"/>
        <v>OK</v>
      </c>
      <c r="R808" t="str">
        <f t="shared" si="61"/>
        <v>BAD</v>
      </c>
      <c r="S808">
        <f t="shared" si="62"/>
        <v>0</v>
      </c>
      <c r="T808">
        <f t="shared" si="63"/>
        <v>1</v>
      </c>
      <c r="U808" t="str">
        <f t="shared" si="64"/>
        <v>DOCUMENTED</v>
      </c>
    </row>
    <row r="809" spans="1:21">
      <c r="A809" t="s">
        <v>821</v>
      </c>
      <c r="B809" t="s">
        <v>4620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 t="str">
        <f>IF((Sheet1[[#This Row],[Quantity]]*Sheet1[[#This Row],[UnitPrice]])=(Sheet1[[#This Row],[TotalPrice]]), "True", "False")</f>
        <v>True</v>
      </c>
      <c r="P809" t="str">
        <f>IF((Sheet1[[#This Row],[ItemsInCart]]&gt;=Sheet1[[#This Row],[Quantity]]), "Good", "Bad")</f>
        <v>Good</v>
      </c>
      <c r="Q809" t="str">
        <f t="shared" si="60"/>
        <v>OK</v>
      </c>
      <c r="R809" t="str">
        <f t="shared" si="61"/>
        <v>GOOD</v>
      </c>
      <c r="S809">
        <f t="shared" si="62"/>
        <v>0</v>
      </c>
      <c r="T809">
        <f t="shared" si="63"/>
        <v>0</v>
      </c>
      <c r="U809" t="str">
        <f t="shared" si="64"/>
        <v>OK</v>
      </c>
    </row>
    <row r="810" spans="1:21">
      <c r="A810" t="s">
        <v>822</v>
      </c>
      <c r="B810" t="s">
        <v>4828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4961</v>
      </c>
      <c r="M810" t="s">
        <v>4282</v>
      </c>
      <c r="N810">
        <v>402.15</v>
      </c>
      <c r="O810" t="str">
        <f>IF((Sheet1[[#This Row],[Quantity]]*Sheet1[[#This Row],[UnitPrice]])=(Sheet1[[#This Row],[TotalPrice]]), "True", "False")</f>
        <v>True</v>
      </c>
      <c r="P810" t="str">
        <f>IF((Sheet1[[#This Row],[ItemsInCart]]&gt;=Sheet1[[#This Row],[Quantity]]), "Good", "Bad")</f>
        <v>Good</v>
      </c>
      <c r="Q810" t="str">
        <f t="shared" si="60"/>
        <v>OK</v>
      </c>
      <c r="R810" t="str">
        <f t="shared" si="61"/>
        <v>GOOD</v>
      </c>
      <c r="S810">
        <f t="shared" si="62"/>
        <v>0</v>
      </c>
      <c r="T810">
        <f t="shared" si="63"/>
        <v>0</v>
      </c>
      <c r="U810" t="str">
        <f t="shared" si="64"/>
        <v>OK</v>
      </c>
    </row>
    <row r="811" spans="1:21">
      <c r="A811" t="s">
        <v>823</v>
      </c>
      <c r="B811" t="s">
        <v>4681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 t="str">
        <f>IF((Sheet1[[#This Row],[Quantity]]*Sheet1[[#This Row],[UnitPrice]])=(Sheet1[[#This Row],[TotalPrice]]), "True", "False")</f>
        <v>True</v>
      </c>
      <c r="P811" t="str">
        <f>IF((Sheet1[[#This Row],[ItemsInCart]]&gt;=Sheet1[[#This Row],[Quantity]]), "Good", "Bad")</f>
        <v>Good</v>
      </c>
      <c r="Q811" t="str">
        <f t="shared" si="60"/>
        <v>OK</v>
      </c>
      <c r="R811" t="str">
        <f t="shared" si="61"/>
        <v>GOOD</v>
      </c>
      <c r="S811">
        <f t="shared" si="62"/>
        <v>0</v>
      </c>
      <c r="T811">
        <f t="shared" si="63"/>
        <v>0</v>
      </c>
      <c r="U811" t="str">
        <f t="shared" si="64"/>
        <v>OK</v>
      </c>
    </row>
    <row r="812" spans="1:21">
      <c r="A812" t="s">
        <v>824</v>
      </c>
      <c r="B812" t="s">
        <v>4829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4961</v>
      </c>
      <c r="M812" t="s">
        <v>4279</v>
      </c>
      <c r="N812">
        <v>553.55999999999995</v>
      </c>
      <c r="O812" t="str">
        <f>IF((Sheet1[[#This Row],[Quantity]]*Sheet1[[#This Row],[UnitPrice]])=(Sheet1[[#This Row],[TotalPrice]]), "True", "False")</f>
        <v>True</v>
      </c>
      <c r="P812" t="str">
        <f>IF((Sheet1[[#This Row],[ItemsInCart]]&gt;=Sheet1[[#This Row],[Quantity]]), "Good", "Bad")</f>
        <v>Good</v>
      </c>
      <c r="Q812" t="str">
        <f t="shared" si="60"/>
        <v>OK</v>
      </c>
      <c r="R812" t="str">
        <f t="shared" si="61"/>
        <v>BAD</v>
      </c>
      <c r="S812">
        <f t="shared" si="62"/>
        <v>0</v>
      </c>
      <c r="T812">
        <f t="shared" si="63"/>
        <v>1</v>
      </c>
      <c r="U812" t="str">
        <f t="shared" si="64"/>
        <v>REVIEW_RETURN</v>
      </c>
    </row>
    <row r="813" spans="1:21">
      <c r="A813" t="s">
        <v>825</v>
      </c>
      <c r="B813" t="s">
        <v>4495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 t="str">
        <f>IF((Sheet1[[#This Row],[Quantity]]*Sheet1[[#This Row],[UnitPrice]])=(Sheet1[[#This Row],[TotalPrice]]), "True", "False")</f>
        <v>True</v>
      </c>
      <c r="P813" t="str">
        <f>IF((Sheet1[[#This Row],[ItemsInCart]]&gt;=Sheet1[[#This Row],[Quantity]]), "Good", "Bad")</f>
        <v>Good</v>
      </c>
      <c r="Q813" t="str">
        <f t="shared" si="60"/>
        <v>OK</v>
      </c>
      <c r="R813" t="str">
        <f t="shared" si="61"/>
        <v>GOOD</v>
      </c>
      <c r="S813">
        <f t="shared" si="62"/>
        <v>0</v>
      </c>
      <c r="T813">
        <f t="shared" si="63"/>
        <v>0</v>
      </c>
      <c r="U813" t="str">
        <f t="shared" si="64"/>
        <v>OK</v>
      </c>
    </row>
    <row r="814" spans="1:21">
      <c r="A814" t="s">
        <v>826</v>
      </c>
      <c r="B814" t="s">
        <v>4830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 t="str">
        <f>IF((Sheet1[[#This Row],[Quantity]]*Sheet1[[#This Row],[UnitPrice]])=(Sheet1[[#This Row],[TotalPrice]]), "True", "False")</f>
        <v>True</v>
      </c>
      <c r="P814" t="str">
        <f>IF((Sheet1[[#This Row],[ItemsInCart]]&gt;=Sheet1[[#This Row],[Quantity]]), "Good", "Bad")</f>
        <v>Good</v>
      </c>
      <c r="Q814" t="str">
        <f t="shared" si="60"/>
        <v>OK</v>
      </c>
      <c r="R814" t="str">
        <f t="shared" si="61"/>
        <v>BAD</v>
      </c>
      <c r="S814">
        <f t="shared" si="62"/>
        <v>0</v>
      </c>
      <c r="T814">
        <f t="shared" si="63"/>
        <v>1</v>
      </c>
      <c r="U814" t="str">
        <f t="shared" si="64"/>
        <v>REVIEW_RETURN</v>
      </c>
    </row>
    <row r="815" spans="1:21">
      <c r="A815" t="s">
        <v>827</v>
      </c>
      <c r="B815" t="s">
        <v>4458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 t="str">
        <f>IF((Sheet1[[#This Row],[Quantity]]*Sheet1[[#This Row],[UnitPrice]])=(Sheet1[[#This Row],[TotalPrice]]), "True", "False")</f>
        <v>True</v>
      </c>
      <c r="P815" t="str">
        <f>IF((Sheet1[[#This Row],[ItemsInCart]]&gt;=Sheet1[[#This Row],[Quantity]]), "Good", "Bad")</f>
        <v>Good</v>
      </c>
      <c r="Q815" t="str">
        <f t="shared" si="60"/>
        <v>OK</v>
      </c>
      <c r="R815" t="str">
        <f t="shared" si="61"/>
        <v>BAD</v>
      </c>
      <c r="S815">
        <f t="shared" si="62"/>
        <v>0</v>
      </c>
      <c r="T815">
        <f t="shared" si="63"/>
        <v>1</v>
      </c>
      <c r="U815" t="str">
        <f t="shared" si="64"/>
        <v>REVIEW_RETURN</v>
      </c>
    </row>
    <row r="816" spans="1:21">
      <c r="A816" t="s">
        <v>828</v>
      </c>
      <c r="B816" t="s">
        <v>4501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 t="str">
        <f>IF((Sheet1[[#This Row],[Quantity]]*Sheet1[[#This Row],[UnitPrice]])=(Sheet1[[#This Row],[TotalPrice]]), "True", "False")</f>
        <v>True</v>
      </c>
      <c r="P816" t="str">
        <f>IF((Sheet1[[#This Row],[ItemsInCart]]&gt;=Sheet1[[#This Row],[Quantity]]), "Good", "Bad")</f>
        <v>Good</v>
      </c>
      <c r="Q816" t="str">
        <f t="shared" si="60"/>
        <v>OK</v>
      </c>
      <c r="R816" t="str">
        <f t="shared" si="61"/>
        <v>BAD</v>
      </c>
      <c r="S816">
        <f t="shared" si="62"/>
        <v>0</v>
      </c>
      <c r="T816">
        <f t="shared" si="63"/>
        <v>1</v>
      </c>
      <c r="U816" t="str">
        <f t="shared" si="64"/>
        <v>DOCUMENTED</v>
      </c>
    </row>
    <row r="817" spans="1:21">
      <c r="A817" t="s">
        <v>829</v>
      </c>
      <c r="B817" t="s">
        <v>4831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 t="str">
        <f>IF((Sheet1[[#This Row],[Quantity]]*Sheet1[[#This Row],[UnitPrice]])=(Sheet1[[#This Row],[TotalPrice]]), "True", "False")</f>
        <v>True</v>
      </c>
      <c r="P817" t="str">
        <f>IF((Sheet1[[#This Row],[ItemsInCart]]&gt;=Sheet1[[#This Row],[Quantity]]), "Good", "Bad")</f>
        <v>Good</v>
      </c>
      <c r="Q817" t="str">
        <f t="shared" si="60"/>
        <v>OK</v>
      </c>
      <c r="R817" t="str">
        <f t="shared" si="61"/>
        <v>BAD</v>
      </c>
      <c r="S817">
        <f t="shared" si="62"/>
        <v>0</v>
      </c>
      <c r="T817">
        <f t="shared" si="63"/>
        <v>1</v>
      </c>
      <c r="U817" t="str">
        <f t="shared" si="64"/>
        <v>REVIEW_RETURN</v>
      </c>
    </row>
    <row r="818" spans="1:21">
      <c r="A818" t="s">
        <v>830</v>
      </c>
      <c r="B818" t="s">
        <v>4727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 t="str">
        <f>IF((Sheet1[[#This Row],[Quantity]]*Sheet1[[#This Row],[UnitPrice]])=(Sheet1[[#This Row],[TotalPrice]]), "True", "False")</f>
        <v>True</v>
      </c>
      <c r="P818" t="str">
        <f>IF((Sheet1[[#This Row],[ItemsInCart]]&gt;=Sheet1[[#This Row],[Quantity]]), "Good", "Bad")</f>
        <v>Good</v>
      </c>
      <c r="Q818" t="str">
        <f t="shared" si="60"/>
        <v>OK</v>
      </c>
      <c r="R818" t="str">
        <f t="shared" si="61"/>
        <v>BAD</v>
      </c>
      <c r="S818">
        <f t="shared" si="62"/>
        <v>0</v>
      </c>
      <c r="T818">
        <f t="shared" si="63"/>
        <v>1</v>
      </c>
      <c r="U818" t="str">
        <f t="shared" si="64"/>
        <v>DOCUMENTED</v>
      </c>
    </row>
    <row r="819" spans="1:21">
      <c r="A819" t="s">
        <v>831</v>
      </c>
      <c r="B819" t="s">
        <v>4752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 t="str">
        <f>IF((Sheet1[[#This Row],[Quantity]]*Sheet1[[#This Row],[UnitPrice]])=(Sheet1[[#This Row],[TotalPrice]]), "True", "False")</f>
        <v>True</v>
      </c>
      <c r="P819" t="str">
        <f>IF((Sheet1[[#This Row],[ItemsInCart]]&gt;=Sheet1[[#This Row],[Quantity]]), "Good", "Bad")</f>
        <v>Good</v>
      </c>
      <c r="Q819" t="str">
        <f t="shared" si="60"/>
        <v>OK</v>
      </c>
      <c r="R819" t="str">
        <f t="shared" si="61"/>
        <v>GOOD</v>
      </c>
      <c r="S819">
        <f t="shared" si="62"/>
        <v>0</v>
      </c>
      <c r="T819">
        <f t="shared" si="63"/>
        <v>0</v>
      </c>
      <c r="U819" t="str">
        <f t="shared" si="64"/>
        <v>OK</v>
      </c>
    </row>
    <row r="820" spans="1:21">
      <c r="A820" t="s">
        <v>832</v>
      </c>
      <c r="B820" t="s">
        <v>4804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 t="str">
        <f>IF((Sheet1[[#This Row],[Quantity]]*Sheet1[[#This Row],[UnitPrice]])=(Sheet1[[#This Row],[TotalPrice]]), "True", "False")</f>
        <v>True</v>
      </c>
      <c r="P820" t="str">
        <f>IF((Sheet1[[#This Row],[ItemsInCart]]&gt;=Sheet1[[#This Row],[Quantity]]), "Good", "Bad")</f>
        <v>Good</v>
      </c>
      <c r="Q820" t="str">
        <f t="shared" si="60"/>
        <v>OK</v>
      </c>
      <c r="R820" t="str">
        <f t="shared" si="61"/>
        <v>BAD</v>
      </c>
      <c r="S820">
        <f t="shared" si="62"/>
        <v>0</v>
      </c>
      <c r="T820">
        <f t="shared" si="63"/>
        <v>1</v>
      </c>
      <c r="U820" t="str">
        <f t="shared" si="64"/>
        <v>REVIEW_RETURN</v>
      </c>
    </row>
    <row r="821" spans="1:21">
      <c r="A821" t="s">
        <v>833</v>
      </c>
      <c r="B821" t="s">
        <v>4618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 t="str">
        <f>IF((Sheet1[[#This Row],[Quantity]]*Sheet1[[#This Row],[UnitPrice]])=(Sheet1[[#This Row],[TotalPrice]]), "True", "False")</f>
        <v>True</v>
      </c>
      <c r="P821" t="str">
        <f>IF((Sheet1[[#This Row],[ItemsInCart]]&gt;=Sheet1[[#This Row],[Quantity]]), "Good", "Bad")</f>
        <v>Good</v>
      </c>
      <c r="Q821" t="str">
        <f t="shared" si="60"/>
        <v>OK</v>
      </c>
      <c r="R821" t="str">
        <f t="shared" si="61"/>
        <v>BAD</v>
      </c>
      <c r="S821">
        <f t="shared" si="62"/>
        <v>0</v>
      </c>
      <c r="T821">
        <f t="shared" si="63"/>
        <v>1</v>
      </c>
      <c r="U821" t="str">
        <f t="shared" si="64"/>
        <v>REVIEW_RETURN</v>
      </c>
    </row>
    <row r="822" spans="1:21">
      <c r="A822" t="s">
        <v>834</v>
      </c>
      <c r="B822" t="s">
        <v>4439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 t="str">
        <f>IF((Sheet1[[#This Row],[Quantity]]*Sheet1[[#This Row],[UnitPrice]])=(Sheet1[[#This Row],[TotalPrice]]), "True", "False")</f>
        <v>True</v>
      </c>
      <c r="P822" t="str">
        <f>IF((Sheet1[[#This Row],[ItemsInCart]]&gt;=Sheet1[[#This Row],[Quantity]]), "Good", "Bad")</f>
        <v>Good</v>
      </c>
      <c r="Q822" t="str">
        <f t="shared" si="60"/>
        <v>OK</v>
      </c>
      <c r="R822" t="str">
        <f t="shared" si="61"/>
        <v>GOOD</v>
      </c>
      <c r="S822">
        <f t="shared" si="62"/>
        <v>0</v>
      </c>
      <c r="T822">
        <f t="shared" si="63"/>
        <v>0</v>
      </c>
      <c r="U822" t="str">
        <f t="shared" si="64"/>
        <v>OK</v>
      </c>
    </row>
    <row r="823" spans="1:21">
      <c r="A823" t="s">
        <v>835</v>
      </c>
      <c r="B823" t="s">
        <v>4832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 t="str">
        <f>IF((Sheet1[[#This Row],[Quantity]]*Sheet1[[#This Row],[UnitPrice]])=(Sheet1[[#This Row],[TotalPrice]]), "True", "False")</f>
        <v>True</v>
      </c>
      <c r="P823" t="str">
        <f>IF((Sheet1[[#This Row],[ItemsInCart]]&gt;=Sheet1[[#This Row],[Quantity]]), "Good", "Bad")</f>
        <v>Good</v>
      </c>
      <c r="Q823" t="str">
        <f t="shared" si="60"/>
        <v>OK</v>
      </c>
      <c r="R823" t="str">
        <f t="shared" si="61"/>
        <v>GOOD</v>
      </c>
      <c r="S823">
        <f t="shared" si="62"/>
        <v>0</v>
      </c>
      <c r="T823">
        <f t="shared" si="63"/>
        <v>0</v>
      </c>
      <c r="U823" t="str">
        <f t="shared" si="64"/>
        <v>OK</v>
      </c>
    </row>
    <row r="824" spans="1:21">
      <c r="A824" t="s">
        <v>836</v>
      </c>
      <c r="B824" t="s">
        <v>4458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 t="str">
        <f>IF((Sheet1[[#This Row],[Quantity]]*Sheet1[[#This Row],[UnitPrice]])=(Sheet1[[#This Row],[TotalPrice]]), "True", "False")</f>
        <v>True</v>
      </c>
      <c r="P824" t="str">
        <f>IF((Sheet1[[#This Row],[ItemsInCart]]&gt;=Sheet1[[#This Row],[Quantity]]), "Good", "Bad")</f>
        <v>Good</v>
      </c>
      <c r="Q824" t="str">
        <f t="shared" si="60"/>
        <v>OK</v>
      </c>
      <c r="R824" t="str">
        <f t="shared" si="61"/>
        <v>GOOD</v>
      </c>
      <c r="S824">
        <f t="shared" si="62"/>
        <v>0</v>
      </c>
      <c r="T824">
        <f t="shared" si="63"/>
        <v>0</v>
      </c>
      <c r="U824" t="str">
        <f t="shared" si="64"/>
        <v>OK</v>
      </c>
    </row>
    <row r="825" spans="1:21">
      <c r="A825" t="s">
        <v>837</v>
      </c>
      <c r="B825" t="s">
        <v>4833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 t="str">
        <f>IF((Sheet1[[#This Row],[Quantity]]*Sheet1[[#This Row],[UnitPrice]])=(Sheet1[[#This Row],[TotalPrice]]), "True", "False")</f>
        <v>True</v>
      </c>
      <c r="P825" t="str">
        <f>IF((Sheet1[[#This Row],[ItemsInCart]]&gt;=Sheet1[[#This Row],[Quantity]]), "Good", "Bad")</f>
        <v>Good</v>
      </c>
      <c r="Q825" t="str">
        <f t="shared" si="60"/>
        <v>OK</v>
      </c>
      <c r="R825" t="str">
        <f t="shared" si="61"/>
        <v>GOOD</v>
      </c>
      <c r="S825">
        <f t="shared" si="62"/>
        <v>0</v>
      </c>
      <c r="T825">
        <f t="shared" si="63"/>
        <v>0</v>
      </c>
      <c r="U825" t="str">
        <f t="shared" si="64"/>
        <v>OK</v>
      </c>
    </row>
    <row r="826" spans="1:21">
      <c r="A826" t="s">
        <v>838</v>
      </c>
      <c r="B826" t="s">
        <v>4476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 t="str">
        <f>IF((Sheet1[[#This Row],[Quantity]]*Sheet1[[#This Row],[UnitPrice]])=(Sheet1[[#This Row],[TotalPrice]]), "True", "False")</f>
        <v>True</v>
      </c>
      <c r="P826" t="str">
        <f>IF((Sheet1[[#This Row],[ItemsInCart]]&gt;=Sheet1[[#This Row],[Quantity]]), "Good", "Bad")</f>
        <v>Good</v>
      </c>
      <c r="Q826" t="str">
        <f t="shared" si="60"/>
        <v>OK</v>
      </c>
      <c r="R826" t="str">
        <f t="shared" si="61"/>
        <v>GOOD</v>
      </c>
      <c r="S826">
        <f t="shared" si="62"/>
        <v>0</v>
      </c>
      <c r="T826">
        <f t="shared" si="63"/>
        <v>0</v>
      </c>
      <c r="U826" t="str">
        <f t="shared" si="64"/>
        <v>OK</v>
      </c>
    </row>
    <row r="827" spans="1:21">
      <c r="A827" t="s">
        <v>839</v>
      </c>
      <c r="B827" t="s">
        <v>4301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 t="str">
        <f>IF((Sheet1[[#This Row],[Quantity]]*Sheet1[[#This Row],[UnitPrice]])=(Sheet1[[#This Row],[TotalPrice]]), "True", "False")</f>
        <v>True</v>
      </c>
      <c r="P827" t="str">
        <f>IF((Sheet1[[#This Row],[ItemsInCart]]&gt;=Sheet1[[#This Row],[Quantity]]), "Good", "Bad")</f>
        <v>Good</v>
      </c>
      <c r="Q827" t="str">
        <f t="shared" si="60"/>
        <v>OK</v>
      </c>
      <c r="R827" t="str">
        <f t="shared" si="61"/>
        <v>GOOD</v>
      </c>
      <c r="S827">
        <f t="shared" si="62"/>
        <v>0</v>
      </c>
      <c r="T827">
        <f t="shared" si="63"/>
        <v>0</v>
      </c>
      <c r="U827" t="str">
        <f t="shared" si="64"/>
        <v>OK</v>
      </c>
    </row>
    <row r="828" spans="1:21">
      <c r="A828" t="s">
        <v>840</v>
      </c>
      <c r="B828" t="s">
        <v>4460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 t="str">
        <f>IF((Sheet1[[#This Row],[Quantity]]*Sheet1[[#This Row],[UnitPrice]])=(Sheet1[[#This Row],[TotalPrice]]), "True", "False")</f>
        <v>True</v>
      </c>
      <c r="P828" t="str">
        <f>IF((Sheet1[[#This Row],[ItemsInCart]]&gt;=Sheet1[[#This Row],[Quantity]]), "Good", "Bad")</f>
        <v>Good</v>
      </c>
      <c r="Q828" t="str">
        <f t="shared" si="60"/>
        <v>OK</v>
      </c>
      <c r="R828" t="str">
        <f t="shared" si="61"/>
        <v>GOOD</v>
      </c>
      <c r="S828">
        <f t="shared" si="62"/>
        <v>0</v>
      </c>
      <c r="T828">
        <f t="shared" si="63"/>
        <v>0</v>
      </c>
      <c r="U828" t="str">
        <f t="shared" si="64"/>
        <v>OK</v>
      </c>
    </row>
    <row r="829" spans="1:21">
      <c r="A829" t="s">
        <v>841</v>
      </c>
      <c r="B829" t="s">
        <v>4834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 t="str">
        <f>IF((Sheet1[[#This Row],[Quantity]]*Sheet1[[#This Row],[UnitPrice]])=(Sheet1[[#This Row],[TotalPrice]]), "True", "False")</f>
        <v>True</v>
      </c>
      <c r="P829" t="str">
        <f>IF((Sheet1[[#This Row],[ItemsInCart]]&gt;=Sheet1[[#This Row],[Quantity]]), "Good", "Bad")</f>
        <v>Good</v>
      </c>
      <c r="Q829" t="str">
        <f t="shared" si="60"/>
        <v>OK</v>
      </c>
      <c r="R829" t="str">
        <f t="shared" si="61"/>
        <v>GOOD</v>
      </c>
      <c r="S829">
        <f t="shared" si="62"/>
        <v>0</v>
      </c>
      <c r="T829">
        <f t="shared" si="63"/>
        <v>0</v>
      </c>
      <c r="U829" t="str">
        <f t="shared" si="64"/>
        <v>OK</v>
      </c>
    </row>
    <row r="830" spans="1:21">
      <c r="A830" t="s">
        <v>842</v>
      </c>
      <c r="B830" t="s">
        <v>4308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 t="str">
        <f>IF((Sheet1[[#This Row],[Quantity]]*Sheet1[[#This Row],[UnitPrice]])=(Sheet1[[#This Row],[TotalPrice]]), "True", "False")</f>
        <v>True</v>
      </c>
      <c r="P830" t="str">
        <f>IF((Sheet1[[#This Row],[ItemsInCart]]&gt;=Sheet1[[#This Row],[Quantity]]), "Good", "Bad")</f>
        <v>Good</v>
      </c>
      <c r="Q830" t="str">
        <f t="shared" si="60"/>
        <v>OK</v>
      </c>
      <c r="R830" t="str">
        <f t="shared" si="61"/>
        <v>GOOD</v>
      </c>
      <c r="S830">
        <f t="shared" si="62"/>
        <v>0</v>
      </c>
      <c r="T830">
        <f t="shared" si="63"/>
        <v>0</v>
      </c>
      <c r="U830" t="str">
        <f t="shared" si="64"/>
        <v>OK</v>
      </c>
    </row>
    <row r="831" spans="1:21">
      <c r="A831" t="s">
        <v>843</v>
      </c>
      <c r="B831" t="s">
        <v>4766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 t="str">
        <f>IF((Sheet1[[#This Row],[Quantity]]*Sheet1[[#This Row],[UnitPrice]])=(Sheet1[[#This Row],[TotalPrice]]), "True", "False")</f>
        <v>True</v>
      </c>
      <c r="P831" t="str">
        <f>IF((Sheet1[[#This Row],[ItemsInCart]]&gt;=Sheet1[[#This Row],[Quantity]]), "Good", "Bad")</f>
        <v>Good</v>
      </c>
      <c r="Q831" t="str">
        <f t="shared" si="60"/>
        <v>OK</v>
      </c>
      <c r="R831" t="str">
        <f t="shared" si="61"/>
        <v>GOOD</v>
      </c>
      <c r="S831">
        <f t="shared" si="62"/>
        <v>0</v>
      </c>
      <c r="T831">
        <f t="shared" si="63"/>
        <v>0</v>
      </c>
      <c r="U831" t="str">
        <f t="shared" si="64"/>
        <v>OK</v>
      </c>
    </row>
    <row r="832" spans="1:21">
      <c r="A832" t="s">
        <v>844</v>
      </c>
      <c r="B832" t="s">
        <v>4501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 t="str">
        <f>IF((Sheet1[[#This Row],[Quantity]]*Sheet1[[#This Row],[UnitPrice]])=(Sheet1[[#This Row],[TotalPrice]]), "True", "False")</f>
        <v>True</v>
      </c>
      <c r="P832" t="str">
        <f>IF((Sheet1[[#This Row],[ItemsInCart]]&gt;=Sheet1[[#This Row],[Quantity]]), "Good", "Bad")</f>
        <v>Good</v>
      </c>
      <c r="Q832" t="str">
        <f t="shared" si="60"/>
        <v>OK</v>
      </c>
      <c r="R832" t="str">
        <f t="shared" si="61"/>
        <v>GOOD</v>
      </c>
      <c r="S832">
        <f t="shared" si="62"/>
        <v>0</v>
      </c>
      <c r="T832">
        <f t="shared" si="63"/>
        <v>0</v>
      </c>
      <c r="U832" t="str">
        <f t="shared" si="64"/>
        <v>OK</v>
      </c>
    </row>
    <row r="833" spans="1:21">
      <c r="A833" t="s">
        <v>845</v>
      </c>
      <c r="B833" t="s">
        <v>4835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4961</v>
      </c>
      <c r="M833" t="s">
        <v>4282</v>
      </c>
      <c r="N833">
        <v>177.46</v>
      </c>
      <c r="O833" t="str">
        <f>IF((Sheet1[[#This Row],[Quantity]]*Sheet1[[#This Row],[UnitPrice]])=(Sheet1[[#This Row],[TotalPrice]]), "True", "False")</f>
        <v>True</v>
      </c>
      <c r="P833" t="str">
        <f>IF((Sheet1[[#This Row],[ItemsInCart]]&gt;=Sheet1[[#This Row],[Quantity]]), "Good", "Bad")</f>
        <v>Good</v>
      </c>
      <c r="Q833" t="str">
        <f t="shared" si="60"/>
        <v>OK</v>
      </c>
      <c r="R833" t="str">
        <f t="shared" si="61"/>
        <v>BAD</v>
      </c>
      <c r="S833">
        <f t="shared" si="62"/>
        <v>0</v>
      </c>
      <c r="T833">
        <f t="shared" si="63"/>
        <v>1</v>
      </c>
      <c r="U833" t="str">
        <f t="shared" si="64"/>
        <v>DOCUMENTED</v>
      </c>
    </row>
    <row r="834" spans="1:21">
      <c r="A834" t="s">
        <v>846</v>
      </c>
      <c r="B834" t="s">
        <v>4836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 t="str">
        <f>IF((Sheet1[[#This Row],[Quantity]]*Sheet1[[#This Row],[UnitPrice]])=(Sheet1[[#This Row],[TotalPrice]]), "True", "False")</f>
        <v>True</v>
      </c>
      <c r="P834" t="str">
        <f>IF((Sheet1[[#This Row],[ItemsInCart]]&gt;=Sheet1[[#This Row],[Quantity]]), "Good", "Bad")</f>
        <v>Good</v>
      </c>
      <c r="Q834" t="str">
        <f t="shared" ref="Q834:Q897" si="65">IF(AND(E834&gt;0, F834&gt;0,N834&gt;0),"OK","INVALID")</f>
        <v>OK</v>
      </c>
      <c r="R834" t="str">
        <f t="shared" ref="R834:R897" si="66">IF(OR(AND(OR(I834="Shipped",I834="Delivered",I834="Returned"),J834=""),AND(OR(I834="Processing",I834="Pending",I834="Cancelled"),J834&lt;&gt;"")),"BAD","GOOD")</f>
        <v>BAD</v>
      </c>
      <c r="S834">
        <f t="shared" ref="S834:S897" si="67">IF(AND(OR(I834="Shipped",I834="Delivered",I834="Returned"),J834=""),1,0)</f>
        <v>0</v>
      </c>
      <c r="T834">
        <f t="shared" ref="T834:T897" si="68">IF(AND(OR(I834="Processing",I834="Pending",I834="Cancelled"),J834&lt;&gt;""),1,0)</f>
        <v>1</v>
      </c>
      <c r="U834" t="str">
        <f t="shared" ref="U834:U897" si="69">IF(AND(OR(I834="Shipped",I834="Delivered"),J834=""),"MISSING_TRACKING", IF(AND(OR(I834="Processing",I834="Pending"),J834&lt;&gt;""),"DOCUMENTED", IF(AND(I834="Cancelled",J834&lt;&gt;""), "REVIEW_RETURN", "OK")))</f>
        <v>DOCUMENTED</v>
      </c>
    </row>
    <row r="835" spans="1:21">
      <c r="A835" t="s">
        <v>847</v>
      </c>
      <c r="B835" t="s">
        <v>4670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 t="str">
        <f>IF((Sheet1[[#This Row],[Quantity]]*Sheet1[[#This Row],[UnitPrice]])=(Sheet1[[#This Row],[TotalPrice]]), "True", "False")</f>
        <v>True</v>
      </c>
      <c r="P835" t="str">
        <f>IF((Sheet1[[#This Row],[ItemsInCart]]&gt;=Sheet1[[#This Row],[Quantity]]), "Good", "Bad")</f>
        <v>Good</v>
      </c>
      <c r="Q835" t="str">
        <f t="shared" si="65"/>
        <v>OK</v>
      </c>
      <c r="R835" t="str">
        <f t="shared" si="66"/>
        <v>GOOD</v>
      </c>
      <c r="S835">
        <f t="shared" si="67"/>
        <v>0</v>
      </c>
      <c r="T835">
        <f t="shared" si="68"/>
        <v>0</v>
      </c>
      <c r="U835" t="str">
        <f t="shared" si="69"/>
        <v>OK</v>
      </c>
    </row>
    <row r="836" spans="1:21">
      <c r="A836" t="s">
        <v>848</v>
      </c>
      <c r="B836" t="s">
        <v>4449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4961</v>
      </c>
      <c r="M836" t="s">
        <v>4278</v>
      </c>
      <c r="N836">
        <v>110.7</v>
      </c>
      <c r="O836" t="str">
        <f>IF((Sheet1[[#This Row],[Quantity]]*Sheet1[[#This Row],[UnitPrice]])=(Sheet1[[#This Row],[TotalPrice]]), "True", "False")</f>
        <v>True</v>
      </c>
      <c r="P836" t="str">
        <f>IF((Sheet1[[#This Row],[ItemsInCart]]&gt;=Sheet1[[#This Row],[Quantity]]), "Good", "Bad")</f>
        <v>Good</v>
      </c>
      <c r="Q836" t="str">
        <f t="shared" si="65"/>
        <v>OK</v>
      </c>
      <c r="R836" t="str">
        <f t="shared" si="66"/>
        <v>GOOD</v>
      </c>
      <c r="S836">
        <f t="shared" si="67"/>
        <v>0</v>
      </c>
      <c r="T836">
        <f t="shared" si="68"/>
        <v>0</v>
      </c>
      <c r="U836" t="str">
        <f t="shared" si="69"/>
        <v>OK</v>
      </c>
    </row>
    <row r="837" spans="1:21">
      <c r="A837" t="s">
        <v>849</v>
      </c>
      <c r="B837" t="s">
        <v>4573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 t="str">
        <f>IF((Sheet1[[#This Row],[Quantity]]*Sheet1[[#This Row],[UnitPrice]])=(Sheet1[[#This Row],[TotalPrice]]), "True", "False")</f>
        <v>True</v>
      </c>
      <c r="P837" t="str">
        <f>IF((Sheet1[[#This Row],[ItemsInCart]]&gt;=Sheet1[[#This Row],[Quantity]]), "Good", "Bad")</f>
        <v>Good</v>
      </c>
      <c r="Q837" t="str">
        <f t="shared" si="65"/>
        <v>OK</v>
      </c>
      <c r="R837" t="str">
        <f t="shared" si="66"/>
        <v>GOOD</v>
      </c>
      <c r="S837">
        <f t="shared" si="67"/>
        <v>0</v>
      </c>
      <c r="T837">
        <f t="shared" si="68"/>
        <v>0</v>
      </c>
      <c r="U837" t="str">
        <f t="shared" si="69"/>
        <v>OK</v>
      </c>
    </row>
    <row r="838" spans="1:21">
      <c r="A838" t="s">
        <v>850</v>
      </c>
      <c r="B838" t="s">
        <v>4771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 t="str">
        <f>IF((Sheet1[[#This Row],[Quantity]]*Sheet1[[#This Row],[UnitPrice]])=(Sheet1[[#This Row],[TotalPrice]]), "True", "False")</f>
        <v>True</v>
      </c>
      <c r="P838" t="str">
        <f>IF((Sheet1[[#This Row],[ItemsInCart]]&gt;=Sheet1[[#This Row],[Quantity]]), "Good", "Bad")</f>
        <v>Good</v>
      </c>
      <c r="Q838" t="str">
        <f t="shared" si="65"/>
        <v>OK</v>
      </c>
      <c r="R838" t="str">
        <f t="shared" si="66"/>
        <v>BAD</v>
      </c>
      <c r="S838">
        <f t="shared" si="67"/>
        <v>0</v>
      </c>
      <c r="T838">
        <f t="shared" si="68"/>
        <v>1</v>
      </c>
      <c r="U838" t="str">
        <f t="shared" si="69"/>
        <v>REVIEW_RETURN</v>
      </c>
    </row>
    <row r="839" spans="1:21">
      <c r="A839" t="s">
        <v>851</v>
      </c>
      <c r="B839" t="s">
        <v>4837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4961</v>
      </c>
      <c r="M839" t="s">
        <v>4280</v>
      </c>
      <c r="N839">
        <v>3277.75</v>
      </c>
      <c r="O839" t="str">
        <f>IF((Sheet1[[#This Row],[Quantity]]*Sheet1[[#This Row],[UnitPrice]])=(Sheet1[[#This Row],[TotalPrice]]), "True", "False")</f>
        <v>True</v>
      </c>
      <c r="P839" t="str">
        <f>IF((Sheet1[[#This Row],[ItemsInCart]]&gt;=Sheet1[[#This Row],[Quantity]]), "Good", "Bad")</f>
        <v>Good</v>
      </c>
      <c r="Q839" t="str">
        <f t="shared" si="65"/>
        <v>OK</v>
      </c>
      <c r="R839" t="str">
        <f t="shared" si="66"/>
        <v>GOOD</v>
      </c>
      <c r="S839">
        <f t="shared" si="67"/>
        <v>0</v>
      </c>
      <c r="T839">
        <f t="shared" si="68"/>
        <v>0</v>
      </c>
      <c r="U839" t="str">
        <f t="shared" si="69"/>
        <v>OK</v>
      </c>
    </row>
    <row r="840" spans="1:21">
      <c r="A840" t="s">
        <v>852</v>
      </c>
      <c r="B840" t="s">
        <v>4449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4961</v>
      </c>
      <c r="M840" t="s">
        <v>4281</v>
      </c>
      <c r="N840">
        <v>2308.3200000000002</v>
      </c>
      <c r="O840" t="str">
        <f>IF((Sheet1[[#This Row],[Quantity]]*Sheet1[[#This Row],[UnitPrice]])=(Sheet1[[#This Row],[TotalPrice]]), "True", "False")</f>
        <v>True</v>
      </c>
      <c r="P840" t="str">
        <f>IF((Sheet1[[#This Row],[ItemsInCart]]&gt;=Sheet1[[#This Row],[Quantity]]), "Good", "Bad")</f>
        <v>Good</v>
      </c>
      <c r="Q840" t="str">
        <f t="shared" si="65"/>
        <v>OK</v>
      </c>
      <c r="R840" t="str">
        <f t="shared" si="66"/>
        <v>BAD</v>
      </c>
      <c r="S840">
        <f t="shared" si="67"/>
        <v>0</v>
      </c>
      <c r="T840">
        <f t="shared" si="68"/>
        <v>1</v>
      </c>
      <c r="U840" t="str">
        <f t="shared" si="69"/>
        <v>DOCUMENTED</v>
      </c>
    </row>
    <row r="841" spans="1:21">
      <c r="A841" t="s">
        <v>853</v>
      </c>
      <c r="B841" t="s">
        <v>4601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4961</v>
      </c>
      <c r="M841" t="s">
        <v>4282</v>
      </c>
      <c r="N841">
        <v>593.91</v>
      </c>
      <c r="O841" t="str">
        <f>IF((Sheet1[[#This Row],[Quantity]]*Sheet1[[#This Row],[UnitPrice]])=(Sheet1[[#This Row],[TotalPrice]]), "True", "False")</f>
        <v>True</v>
      </c>
      <c r="P841" t="str">
        <f>IF((Sheet1[[#This Row],[ItemsInCart]]&gt;=Sheet1[[#This Row],[Quantity]]), "Good", "Bad")</f>
        <v>Good</v>
      </c>
      <c r="Q841" t="str">
        <f t="shared" si="65"/>
        <v>OK</v>
      </c>
      <c r="R841" t="str">
        <f t="shared" si="66"/>
        <v>BAD</v>
      </c>
      <c r="S841">
        <f t="shared" si="67"/>
        <v>0</v>
      </c>
      <c r="T841">
        <f t="shared" si="68"/>
        <v>1</v>
      </c>
      <c r="U841" t="str">
        <f t="shared" si="69"/>
        <v>REVIEW_RETURN</v>
      </c>
    </row>
    <row r="842" spans="1:21">
      <c r="A842" t="s">
        <v>854</v>
      </c>
      <c r="B842" t="s">
        <v>4838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 t="str">
        <f>IF((Sheet1[[#This Row],[Quantity]]*Sheet1[[#This Row],[UnitPrice]])=(Sheet1[[#This Row],[TotalPrice]]), "True", "False")</f>
        <v>True</v>
      </c>
      <c r="P842" t="str">
        <f>IF((Sheet1[[#This Row],[ItemsInCart]]&gt;=Sheet1[[#This Row],[Quantity]]), "Good", "Bad")</f>
        <v>Good</v>
      </c>
      <c r="Q842" t="str">
        <f t="shared" si="65"/>
        <v>OK</v>
      </c>
      <c r="R842" t="str">
        <f t="shared" si="66"/>
        <v>GOOD</v>
      </c>
      <c r="S842">
        <f t="shared" si="67"/>
        <v>0</v>
      </c>
      <c r="T842">
        <f t="shared" si="68"/>
        <v>0</v>
      </c>
      <c r="U842" t="str">
        <f t="shared" si="69"/>
        <v>OK</v>
      </c>
    </row>
    <row r="843" spans="1:21">
      <c r="A843" t="s">
        <v>855</v>
      </c>
      <c r="B843" t="s">
        <v>4839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4961</v>
      </c>
      <c r="M843" t="s">
        <v>4281</v>
      </c>
      <c r="N843">
        <v>886.44</v>
      </c>
      <c r="O843" t="str">
        <f>IF((Sheet1[[#This Row],[Quantity]]*Sheet1[[#This Row],[UnitPrice]])=(Sheet1[[#This Row],[TotalPrice]]), "True", "False")</f>
        <v>True</v>
      </c>
      <c r="P843" t="str">
        <f>IF((Sheet1[[#This Row],[ItemsInCart]]&gt;=Sheet1[[#This Row],[Quantity]]), "Good", "Bad")</f>
        <v>Good</v>
      </c>
      <c r="Q843" t="str">
        <f t="shared" si="65"/>
        <v>OK</v>
      </c>
      <c r="R843" t="str">
        <f t="shared" si="66"/>
        <v>GOOD</v>
      </c>
      <c r="S843">
        <f t="shared" si="67"/>
        <v>0</v>
      </c>
      <c r="T843">
        <f t="shared" si="68"/>
        <v>0</v>
      </c>
      <c r="U843" t="str">
        <f t="shared" si="69"/>
        <v>OK</v>
      </c>
    </row>
    <row r="844" spans="1:21">
      <c r="A844" t="s">
        <v>856</v>
      </c>
      <c r="B844" t="s">
        <v>4389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 t="str">
        <f>IF((Sheet1[[#This Row],[Quantity]]*Sheet1[[#This Row],[UnitPrice]])=(Sheet1[[#This Row],[TotalPrice]]), "True", "False")</f>
        <v>True</v>
      </c>
      <c r="P844" t="str">
        <f>IF((Sheet1[[#This Row],[ItemsInCart]]&gt;=Sheet1[[#This Row],[Quantity]]), "Good", "Bad")</f>
        <v>Good</v>
      </c>
      <c r="Q844" t="str">
        <f t="shared" si="65"/>
        <v>OK</v>
      </c>
      <c r="R844" t="str">
        <f t="shared" si="66"/>
        <v>BAD</v>
      </c>
      <c r="S844">
        <f t="shared" si="67"/>
        <v>0</v>
      </c>
      <c r="T844">
        <f t="shared" si="68"/>
        <v>1</v>
      </c>
      <c r="U844" t="str">
        <f t="shared" si="69"/>
        <v>DOCUMENTED</v>
      </c>
    </row>
    <row r="845" spans="1:21">
      <c r="A845" t="s">
        <v>857</v>
      </c>
      <c r="B845" t="s">
        <v>4840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 t="str">
        <f>IF((Sheet1[[#This Row],[Quantity]]*Sheet1[[#This Row],[UnitPrice]])=(Sheet1[[#This Row],[TotalPrice]]), "True", "False")</f>
        <v>True</v>
      </c>
      <c r="P845" t="str">
        <f>IF((Sheet1[[#This Row],[ItemsInCart]]&gt;=Sheet1[[#This Row],[Quantity]]), "Good", "Bad")</f>
        <v>Good</v>
      </c>
      <c r="Q845" t="str">
        <f t="shared" si="65"/>
        <v>OK</v>
      </c>
      <c r="R845" t="str">
        <f t="shared" si="66"/>
        <v>BAD</v>
      </c>
      <c r="S845">
        <f t="shared" si="67"/>
        <v>0</v>
      </c>
      <c r="T845">
        <f t="shared" si="68"/>
        <v>1</v>
      </c>
      <c r="U845" t="str">
        <f t="shared" si="69"/>
        <v>REVIEW_RETURN</v>
      </c>
    </row>
    <row r="846" spans="1:21">
      <c r="A846" t="s">
        <v>858</v>
      </c>
      <c r="B846" t="s">
        <v>4841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 t="str">
        <f>IF((Sheet1[[#This Row],[Quantity]]*Sheet1[[#This Row],[UnitPrice]])=(Sheet1[[#This Row],[TotalPrice]]), "True", "False")</f>
        <v>True</v>
      </c>
      <c r="P846" t="str">
        <f>IF((Sheet1[[#This Row],[ItemsInCart]]&gt;=Sheet1[[#This Row],[Quantity]]), "Good", "Bad")</f>
        <v>Good</v>
      </c>
      <c r="Q846" t="str">
        <f t="shared" si="65"/>
        <v>OK</v>
      </c>
      <c r="R846" t="str">
        <f t="shared" si="66"/>
        <v>GOOD</v>
      </c>
      <c r="S846">
        <f t="shared" si="67"/>
        <v>0</v>
      </c>
      <c r="T846">
        <f t="shared" si="68"/>
        <v>0</v>
      </c>
      <c r="U846" t="str">
        <f t="shared" si="69"/>
        <v>OK</v>
      </c>
    </row>
    <row r="847" spans="1:21">
      <c r="A847" t="s">
        <v>859</v>
      </c>
      <c r="B847" t="s">
        <v>4628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 t="str">
        <f>IF((Sheet1[[#This Row],[Quantity]]*Sheet1[[#This Row],[UnitPrice]])=(Sheet1[[#This Row],[TotalPrice]]), "True", "False")</f>
        <v>True</v>
      </c>
      <c r="P847" t="str">
        <f>IF((Sheet1[[#This Row],[ItemsInCart]]&gt;=Sheet1[[#This Row],[Quantity]]), "Good", "Bad")</f>
        <v>Good</v>
      </c>
      <c r="Q847" t="str">
        <f t="shared" si="65"/>
        <v>OK</v>
      </c>
      <c r="R847" t="str">
        <f t="shared" si="66"/>
        <v>GOOD</v>
      </c>
      <c r="S847">
        <f t="shared" si="67"/>
        <v>0</v>
      </c>
      <c r="T847">
        <f t="shared" si="68"/>
        <v>0</v>
      </c>
      <c r="U847" t="str">
        <f t="shared" si="69"/>
        <v>OK</v>
      </c>
    </row>
    <row r="848" spans="1:21">
      <c r="A848" t="s">
        <v>860</v>
      </c>
      <c r="B848" t="s">
        <v>4785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4961</v>
      </c>
      <c r="M848" t="s">
        <v>4279</v>
      </c>
      <c r="N848">
        <v>719.72</v>
      </c>
      <c r="O848" t="str">
        <f>IF((Sheet1[[#This Row],[Quantity]]*Sheet1[[#This Row],[UnitPrice]])=(Sheet1[[#This Row],[TotalPrice]]), "True", "False")</f>
        <v>True</v>
      </c>
      <c r="P848" t="str">
        <f>IF((Sheet1[[#This Row],[ItemsInCart]]&gt;=Sheet1[[#This Row],[Quantity]]), "Good", "Bad")</f>
        <v>Good</v>
      </c>
      <c r="Q848" t="str">
        <f t="shared" si="65"/>
        <v>OK</v>
      </c>
      <c r="R848" t="str">
        <f t="shared" si="66"/>
        <v>BAD</v>
      </c>
      <c r="S848">
        <f t="shared" si="67"/>
        <v>0</v>
      </c>
      <c r="T848">
        <f t="shared" si="68"/>
        <v>1</v>
      </c>
      <c r="U848" t="str">
        <f t="shared" si="69"/>
        <v>REVIEW_RETURN</v>
      </c>
    </row>
    <row r="849" spans="1:21">
      <c r="A849" t="s">
        <v>861</v>
      </c>
      <c r="B849" t="s">
        <v>4532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 t="str">
        <f>IF((Sheet1[[#This Row],[Quantity]]*Sheet1[[#This Row],[UnitPrice]])=(Sheet1[[#This Row],[TotalPrice]]), "True", "False")</f>
        <v>True</v>
      </c>
      <c r="P849" t="str">
        <f>IF((Sheet1[[#This Row],[ItemsInCart]]&gt;=Sheet1[[#This Row],[Quantity]]), "Good", "Bad")</f>
        <v>Good</v>
      </c>
      <c r="Q849" t="str">
        <f t="shared" si="65"/>
        <v>OK</v>
      </c>
      <c r="R849" t="str">
        <f t="shared" si="66"/>
        <v>GOOD</v>
      </c>
      <c r="S849">
        <f t="shared" si="67"/>
        <v>0</v>
      </c>
      <c r="T849">
        <f t="shared" si="68"/>
        <v>0</v>
      </c>
      <c r="U849" t="str">
        <f t="shared" si="69"/>
        <v>OK</v>
      </c>
    </row>
    <row r="850" spans="1:21">
      <c r="A850" t="s">
        <v>862</v>
      </c>
      <c r="B850" t="s">
        <v>4390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4961</v>
      </c>
      <c r="M850" t="s">
        <v>4279</v>
      </c>
      <c r="N850">
        <v>1291.7</v>
      </c>
      <c r="O850" t="str">
        <f>IF((Sheet1[[#This Row],[Quantity]]*Sheet1[[#This Row],[UnitPrice]])=(Sheet1[[#This Row],[TotalPrice]]), "True", "False")</f>
        <v>True</v>
      </c>
      <c r="P850" t="str">
        <f>IF((Sheet1[[#This Row],[ItemsInCart]]&gt;=Sheet1[[#This Row],[Quantity]]), "Good", "Bad")</f>
        <v>Good</v>
      </c>
      <c r="Q850" t="str">
        <f t="shared" si="65"/>
        <v>OK</v>
      </c>
      <c r="R850" t="str">
        <f t="shared" si="66"/>
        <v>GOOD</v>
      </c>
      <c r="S850">
        <f t="shared" si="67"/>
        <v>0</v>
      </c>
      <c r="T850">
        <f t="shared" si="68"/>
        <v>0</v>
      </c>
      <c r="U850" t="str">
        <f t="shared" si="69"/>
        <v>OK</v>
      </c>
    </row>
    <row r="851" spans="1:21">
      <c r="A851" t="s">
        <v>863</v>
      </c>
      <c r="B851" t="s">
        <v>4842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 t="str">
        <f>IF((Sheet1[[#This Row],[Quantity]]*Sheet1[[#This Row],[UnitPrice]])=(Sheet1[[#This Row],[TotalPrice]]), "True", "False")</f>
        <v>True</v>
      </c>
      <c r="P851" t="str">
        <f>IF((Sheet1[[#This Row],[ItemsInCart]]&gt;=Sheet1[[#This Row],[Quantity]]), "Good", "Bad")</f>
        <v>Good</v>
      </c>
      <c r="Q851" t="str">
        <f t="shared" si="65"/>
        <v>OK</v>
      </c>
      <c r="R851" t="str">
        <f t="shared" si="66"/>
        <v>BAD</v>
      </c>
      <c r="S851">
        <f t="shared" si="67"/>
        <v>0</v>
      </c>
      <c r="T851">
        <f t="shared" si="68"/>
        <v>1</v>
      </c>
      <c r="U851" t="str">
        <f t="shared" si="69"/>
        <v>REVIEW_RETURN</v>
      </c>
    </row>
    <row r="852" spans="1:21">
      <c r="A852" t="s">
        <v>864</v>
      </c>
      <c r="B852" t="s">
        <v>4843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 t="str">
        <f>IF((Sheet1[[#This Row],[Quantity]]*Sheet1[[#This Row],[UnitPrice]])=(Sheet1[[#This Row],[TotalPrice]]), "True", "False")</f>
        <v>True</v>
      </c>
      <c r="P852" t="str">
        <f>IF((Sheet1[[#This Row],[ItemsInCart]]&gt;=Sheet1[[#This Row],[Quantity]]), "Good", "Bad")</f>
        <v>Good</v>
      </c>
      <c r="Q852" t="str">
        <f t="shared" si="65"/>
        <v>OK</v>
      </c>
      <c r="R852" t="str">
        <f t="shared" si="66"/>
        <v>BAD</v>
      </c>
      <c r="S852">
        <f t="shared" si="67"/>
        <v>0</v>
      </c>
      <c r="T852">
        <f t="shared" si="68"/>
        <v>1</v>
      </c>
      <c r="U852" t="str">
        <f t="shared" si="69"/>
        <v>REVIEW_RETURN</v>
      </c>
    </row>
    <row r="853" spans="1:21">
      <c r="A853" t="s">
        <v>865</v>
      </c>
      <c r="B853" t="s">
        <v>4710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 t="str">
        <f>IF((Sheet1[[#This Row],[Quantity]]*Sheet1[[#This Row],[UnitPrice]])=(Sheet1[[#This Row],[TotalPrice]]), "True", "False")</f>
        <v>True</v>
      </c>
      <c r="P853" t="str">
        <f>IF((Sheet1[[#This Row],[ItemsInCart]]&gt;=Sheet1[[#This Row],[Quantity]]), "Good", "Bad")</f>
        <v>Good</v>
      </c>
      <c r="Q853" t="str">
        <f t="shared" si="65"/>
        <v>OK</v>
      </c>
      <c r="R853" t="str">
        <f t="shared" si="66"/>
        <v>BAD</v>
      </c>
      <c r="S853">
        <f t="shared" si="67"/>
        <v>0</v>
      </c>
      <c r="T853">
        <f t="shared" si="68"/>
        <v>1</v>
      </c>
      <c r="U853" t="str">
        <f t="shared" si="69"/>
        <v>REVIEW_RETURN</v>
      </c>
    </row>
    <row r="854" spans="1:21">
      <c r="A854" t="s">
        <v>866</v>
      </c>
      <c r="B854" t="s">
        <v>4384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 t="str">
        <f>IF((Sheet1[[#This Row],[Quantity]]*Sheet1[[#This Row],[UnitPrice]])=(Sheet1[[#This Row],[TotalPrice]]), "True", "False")</f>
        <v>True</v>
      </c>
      <c r="P854" t="str">
        <f>IF((Sheet1[[#This Row],[ItemsInCart]]&gt;=Sheet1[[#This Row],[Quantity]]), "Good", "Bad")</f>
        <v>Good</v>
      </c>
      <c r="Q854" t="str">
        <f t="shared" si="65"/>
        <v>OK</v>
      </c>
      <c r="R854" t="str">
        <f t="shared" si="66"/>
        <v>BAD</v>
      </c>
      <c r="S854">
        <f t="shared" si="67"/>
        <v>0</v>
      </c>
      <c r="T854">
        <f t="shared" si="68"/>
        <v>1</v>
      </c>
      <c r="U854" t="str">
        <f t="shared" si="69"/>
        <v>DOCUMENTED</v>
      </c>
    </row>
    <row r="855" spans="1:21">
      <c r="A855" t="s">
        <v>867</v>
      </c>
      <c r="B855" t="s">
        <v>4787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 t="str">
        <f>IF((Sheet1[[#This Row],[Quantity]]*Sheet1[[#This Row],[UnitPrice]])=(Sheet1[[#This Row],[TotalPrice]]), "True", "False")</f>
        <v>True</v>
      </c>
      <c r="P855" t="str">
        <f>IF((Sheet1[[#This Row],[ItemsInCart]]&gt;=Sheet1[[#This Row],[Quantity]]), "Good", "Bad")</f>
        <v>Good</v>
      </c>
      <c r="Q855" t="str">
        <f t="shared" si="65"/>
        <v>OK</v>
      </c>
      <c r="R855" t="str">
        <f t="shared" si="66"/>
        <v>GOOD</v>
      </c>
      <c r="S855">
        <f t="shared" si="67"/>
        <v>0</v>
      </c>
      <c r="T855">
        <f t="shared" si="68"/>
        <v>0</v>
      </c>
      <c r="U855" t="str">
        <f t="shared" si="69"/>
        <v>OK</v>
      </c>
    </row>
    <row r="856" spans="1:21">
      <c r="A856" t="s">
        <v>868</v>
      </c>
      <c r="B856" t="s">
        <v>4682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 t="str">
        <f>IF((Sheet1[[#This Row],[Quantity]]*Sheet1[[#This Row],[UnitPrice]])=(Sheet1[[#This Row],[TotalPrice]]), "True", "False")</f>
        <v>True</v>
      </c>
      <c r="P856" t="str">
        <f>IF((Sheet1[[#This Row],[ItemsInCart]]&gt;=Sheet1[[#This Row],[Quantity]]), "Good", "Bad")</f>
        <v>Good</v>
      </c>
      <c r="Q856" t="str">
        <f t="shared" si="65"/>
        <v>OK</v>
      </c>
      <c r="R856" t="str">
        <f t="shared" si="66"/>
        <v>GOOD</v>
      </c>
      <c r="S856">
        <f t="shared" si="67"/>
        <v>0</v>
      </c>
      <c r="T856">
        <f t="shared" si="68"/>
        <v>0</v>
      </c>
      <c r="U856" t="str">
        <f t="shared" si="69"/>
        <v>OK</v>
      </c>
    </row>
    <row r="857" spans="1:21">
      <c r="A857" t="s">
        <v>869</v>
      </c>
      <c r="B857" t="s">
        <v>4834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 t="str">
        <f>IF((Sheet1[[#This Row],[Quantity]]*Sheet1[[#This Row],[UnitPrice]])=(Sheet1[[#This Row],[TotalPrice]]), "True", "False")</f>
        <v>True</v>
      </c>
      <c r="P857" t="str">
        <f>IF((Sheet1[[#This Row],[ItemsInCart]]&gt;=Sheet1[[#This Row],[Quantity]]), "Good", "Bad")</f>
        <v>Good</v>
      </c>
      <c r="Q857" t="str">
        <f t="shared" si="65"/>
        <v>OK</v>
      </c>
      <c r="R857" t="str">
        <f t="shared" si="66"/>
        <v>GOOD</v>
      </c>
      <c r="S857">
        <f t="shared" si="67"/>
        <v>0</v>
      </c>
      <c r="T857">
        <f t="shared" si="68"/>
        <v>0</v>
      </c>
      <c r="U857" t="str">
        <f t="shared" si="69"/>
        <v>OK</v>
      </c>
    </row>
    <row r="858" spans="1:21">
      <c r="A858" t="s">
        <v>870</v>
      </c>
      <c r="B858" t="s">
        <v>4844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4961</v>
      </c>
      <c r="M858" t="s">
        <v>4281</v>
      </c>
      <c r="N858">
        <v>586.62</v>
      </c>
      <c r="O858" t="str">
        <f>IF((Sheet1[[#This Row],[Quantity]]*Sheet1[[#This Row],[UnitPrice]])=(Sheet1[[#This Row],[TotalPrice]]), "True", "False")</f>
        <v>True</v>
      </c>
      <c r="P858" t="str">
        <f>IF((Sheet1[[#This Row],[ItemsInCart]]&gt;=Sheet1[[#This Row],[Quantity]]), "Good", "Bad")</f>
        <v>Good</v>
      </c>
      <c r="Q858" t="str">
        <f t="shared" si="65"/>
        <v>OK</v>
      </c>
      <c r="R858" t="str">
        <f t="shared" si="66"/>
        <v>GOOD</v>
      </c>
      <c r="S858">
        <f t="shared" si="67"/>
        <v>0</v>
      </c>
      <c r="T858">
        <f t="shared" si="68"/>
        <v>0</v>
      </c>
      <c r="U858" t="str">
        <f t="shared" si="69"/>
        <v>OK</v>
      </c>
    </row>
    <row r="859" spans="1:21">
      <c r="A859" t="s">
        <v>871</v>
      </c>
      <c r="B859" t="s">
        <v>4699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4961</v>
      </c>
      <c r="M859" t="s">
        <v>4278</v>
      </c>
      <c r="N859">
        <v>773.52</v>
      </c>
      <c r="O859" t="str">
        <f>IF((Sheet1[[#This Row],[Quantity]]*Sheet1[[#This Row],[UnitPrice]])=(Sheet1[[#This Row],[TotalPrice]]), "True", "False")</f>
        <v>True</v>
      </c>
      <c r="P859" t="str">
        <f>IF((Sheet1[[#This Row],[ItemsInCart]]&gt;=Sheet1[[#This Row],[Quantity]]), "Good", "Bad")</f>
        <v>Good</v>
      </c>
      <c r="Q859" t="str">
        <f t="shared" si="65"/>
        <v>OK</v>
      </c>
      <c r="R859" t="str">
        <f t="shared" si="66"/>
        <v>GOOD</v>
      </c>
      <c r="S859">
        <f t="shared" si="67"/>
        <v>0</v>
      </c>
      <c r="T859">
        <f t="shared" si="68"/>
        <v>0</v>
      </c>
      <c r="U859" t="str">
        <f t="shared" si="69"/>
        <v>OK</v>
      </c>
    </row>
    <row r="860" spans="1:21">
      <c r="A860" t="s">
        <v>872</v>
      </c>
      <c r="B860" t="s">
        <v>4321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4961</v>
      </c>
      <c r="M860" t="s">
        <v>4281</v>
      </c>
      <c r="N860">
        <v>2178.3000000000002</v>
      </c>
      <c r="O860" t="str">
        <f>IF((Sheet1[[#This Row],[Quantity]]*Sheet1[[#This Row],[UnitPrice]])=(Sheet1[[#This Row],[TotalPrice]]), "True", "False")</f>
        <v>True</v>
      </c>
      <c r="P860" t="str">
        <f>IF((Sheet1[[#This Row],[ItemsInCart]]&gt;=Sheet1[[#This Row],[Quantity]]), "Good", "Bad")</f>
        <v>Good</v>
      </c>
      <c r="Q860" t="str">
        <f t="shared" si="65"/>
        <v>OK</v>
      </c>
      <c r="R860" t="str">
        <f t="shared" si="66"/>
        <v>BAD</v>
      </c>
      <c r="S860">
        <f t="shared" si="67"/>
        <v>0</v>
      </c>
      <c r="T860">
        <f t="shared" si="68"/>
        <v>1</v>
      </c>
      <c r="U860" t="str">
        <f t="shared" si="69"/>
        <v>DOCUMENTED</v>
      </c>
    </row>
    <row r="861" spans="1:21">
      <c r="A861" t="s">
        <v>873</v>
      </c>
      <c r="B861" t="s">
        <v>4845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 t="str">
        <f>IF((Sheet1[[#This Row],[Quantity]]*Sheet1[[#This Row],[UnitPrice]])=(Sheet1[[#This Row],[TotalPrice]]), "True", "False")</f>
        <v>True</v>
      </c>
      <c r="P861" t="str">
        <f>IF((Sheet1[[#This Row],[ItemsInCart]]&gt;=Sheet1[[#This Row],[Quantity]]), "Good", "Bad")</f>
        <v>Good</v>
      </c>
      <c r="Q861" t="str">
        <f t="shared" si="65"/>
        <v>OK</v>
      </c>
      <c r="R861" t="str">
        <f t="shared" si="66"/>
        <v>GOOD</v>
      </c>
      <c r="S861">
        <f t="shared" si="67"/>
        <v>0</v>
      </c>
      <c r="T861">
        <f t="shared" si="68"/>
        <v>0</v>
      </c>
      <c r="U861" t="str">
        <f t="shared" si="69"/>
        <v>OK</v>
      </c>
    </row>
    <row r="862" spans="1:21">
      <c r="A862" t="s">
        <v>874</v>
      </c>
      <c r="B862" t="s">
        <v>4797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 t="str">
        <f>IF((Sheet1[[#This Row],[Quantity]]*Sheet1[[#This Row],[UnitPrice]])=(Sheet1[[#This Row],[TotalPrice]]), "True", "False")</f>
        <v>True</v>
      </c>
      <c r="P862" t="str">
        <f>IF((Sheet1[[#This Row],[ItemsInCart]]&gt;=Sheet1[[#This Row],[Quantity]]), "Good", "Bad")</f>
        <v>Good</v>
      </c>
      <c r="Q862" t="str">
        <f t="shared" si="65"/>
        <v>OK</v>
      </c>
      <c r="R862" t="str">
        <f t="shared" si="66"/>
        <v>GOOD</v>
      </c>
      <c r="S862">
        <f t="shared" si="67"/>
        <v>0</v>
      </c>
      <c r="T862">
        <f t="shared" si="68"/>
        <v>0</v>
      </c>
      <c r="U862" t="str">
        <f t="shared" si="69"/>
        <v>OK</v>
      </c>
    </row>
    <row r="863" spans="1:21">
      <c r="A863" t="s">
        <v>875</v>
      </c>
      <c r="B863" t="s">
        <v>4394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 t="str">
        <f>IF((Sheet1[[#This Row],[Quantity]]*Sheet1[[#This Row],[UnitPrice]])=(Sheet1[[#This Row],[TotalPrice]]), "True", "False")</f>
        <v>True</v>
      </c>
      <c r="P863" t="str">
        <f>IF((Sheet1[[#This Row],[ItemsInCart]]&gt;=Sheet1[[#This Row],[Quantity]]), "Good", "Bad")</f>
        <v>Good</v>
      </c>
      <c r="Q863" t="str">
        <f t="shared" si="65"/>
        <v>OK</v>
      </c>
      <c r="R863" t="str">
        <f t="shared" si="66"/>
        <v>GOOD</v>
      </c>
      <c r="S863">
        <f t="shared" si="67"/>
        <v>0</v>
      </c>
      <c r="T863">
        <f t="shared" si="68"/>
        <v>0</v>
      </c>
      <c r="U863" t="str">
        <f t="shared" si="69"/>
        <v>OK</v>
      </c>
    </row>
    <row r="864" spans="1:21">
      <c r="A864" t="s">
        <v>876</v>
      </c>
      <c r="B864" t="s">
        <v>4561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 t="str">
        <f>IF((Sheet1[[#This Row],[Quantity]]*Sheet1[[#This Row],[UnitPrice]])=(Sheet1[[#This Row],[TotalPrice]]), "True", "False")</f>
        <v>True</v>
      </c>
      <c r="P864" t="str">
        <f>IF((Sheet1[[#This Row],[ItemsInCart]]&gt;=Sheet1[[#This Row],[Quantity]]), "Good", "Bad")</f>
        <v>Good</v>
      </c>
      <c r="Q864" t="str">
        <f t="shared" si="65"/>
        <v>OK</v>
      </c>
      <c r="R864" t="str">
        <f t="shared" si="66"/>
        <v>GOOD</v>
      </c>
      <c r="S864">
        <f t="shared" si="67"/>
        <v>0</v>
      </c>
      <c r="T864">
        <f t="shared" si="68"/>
        <v>0</v>
      </c>
      <c r="U864" t="str">
        <f t="shared" si="69"/>
        <v>OK</v>
      </c>
    </row>
    <row r="865" spans="1:21">
      <c r="A865" t="s">
        <v>877</v>
      </c>
      <c r="B865" t="s">
        <v>4482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 t="str">
        <f>IF((Sheet1[[#This Row],[Quantity]]*Sheet1[[#This Row],[UnitPrice]])=(Sheet1[[#This Row],[TotalPrice]]), "True", "False")</f>
        <v>True</v>
      </c>
      <c r="P865" t="str">
        <f>IF((Sheet1[[#This Row],[ItemsInCart]]&gt;=Sheet1[[#This Row],[Quantity]]), "Good", "Bad")</f>
        <v>Good</v>
      </c>
      <c r="Q865" t="str">
        <f t="shared" si="65"/>
        <v>OK</v>
      </c>
      <c r="R865" t="str">
        <f t="shared" si="66"/>
        <v>BAD</v>
      </c>
      <c r="S865">
        <f t="shared" si="67"/>
        <v>0</v>
      </c>
      <c r="T865">
        <f t="shared" si="68"/>
        <v>1</v>
      </c>
      <c r="U865" t="str">
        <f t="shared" si="69"/>
        <v>DOCUMENTED</v>
      </c>
    </row>
    <row r="866" spans="1:21">
      <c r="A866" t="s">
        <v>878</v>
      </c>
      <c r="B866" t="s">
        <v>4354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 t="str">
        <f>IF((Sheet1[[#This Row],[Quantity]]*Sheet1[[#This Row],[UnitPrice]])=(Sheet1[[#This Row],[TotalPrice]]), "True", "False")</f>
        <v>True</v>
      </c>
      <c r="P866" t="str">
        <f>IF((Sheet1[[#This Row],[ItemsInCart]]&gt;=Sheet1[[#This Row],[Quantity]]), "Good", "Bad")</f>
        <v>Good</v>
      </c>
      <c r="Q866" t="str">
        <f t="shared" si="65"/>
        <v>OK</v>
      </c>
      <c r="R866" t="str">
        <f t="shared" si="66"/>
        <v>GOOD</v>
      </c>
      <c r="S866">
        <f t="shared" si="67"/>
        <v>0</v>
      </c>
      <c r="T866">
        <f t="shared" si="68"/>
        <v>0</v>
      </c>
      <c r="U866" t="str">
        <f t="shared" si="69"/>
        <v>OK</v>
      </c>
    </row>
    <row r="867" spans="1:21">
      <c r="A867" t="s">
        <v>879</v>
      </c>
      <c r="B867" t="s">
        <v>4846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 t="str">
        <f>IF((Sheet1[[#This Row],[Quantity]]*Sheet1[[#This Row],[UnitPrice]])=(Sheet1[[#This Row],[TotalPrice]]), "True", "False")</f>
        <v>True</v>
      </c>
      <c r="P867" t="str">
        <f>IF((Sheet1[[#This Row],[ItemsInCart]]&gt;=Sheet1[[#This Row],[Quantity]]), "Good", "Bad")</f>
        <v>Good</v>
      </c>
      <c r="Q867" t="str">
        <f t="shared" si="65"/>
        <v>OK</v>
      </c>
      <c r="R867" t="str">
        <f t="shared" si="66"/>
        <v>BAD</v>
      </c>
      <c r="S867">
        <f t="shared" si="67"/>
        <v>0</v>
      </c>
      <c r="T867">
        <f t="shared" si="68"/>
        <v>1</v>
      </c>
      <c r="U867" t="str">
        <f t="shared" si="69"/>
        <v>DOCUMENTED</v>
      </c>
    </row>
    <row r="868" spans="1:21">
      <c r="A868" t="s">
        <v>880</v>
      </c>
      <c r="B868" t="s">
        <v>4786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 t="str">
        <f>IF((Sheet1[[#This Row],[Quantity]]*Sheet1[[#This Row],[UnitPrice]])=(Sheet1[[#This Row],[TotalPrice]]), "True", "False")</f>
        <v>True</v>
      </c>
      <c r="P868" t="str">
        <f>IF((Sheet1[[#This Row],[ItemsInCart]]&gt;=Sheet1[[#This Row],[Quantity]]), "Good", "Bad")</f>
        <v>Good</v>
      </c>
      <c r="Q868" t="str">
        <f t="shared" si="65"/>
        <v>OK</v>
      </c>
      <c r="R868" t="str">
        <f t="shared" si="66"/>
        <v>BAD</v>
      </c>
      <c r="S868">
        <f t="shared" si="67"/>
        <v>0</v>
      </c>
      <c r="T868">
        <f t="shared" si="68"/>
        <v>1</v>
      </c>
      <c r="U868" t="str">
        <f t="shared" si="69"/>
        <v>REVIEW_RETURN</v>
      </c>
    </row>
    <row r="869" spans="1:21">
      <c r="A869" t="s">
        <v>881</v>
      </c>
      <c r="B869" t="s">
        <v>4847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 t="str">
        <f>IF((Sheet1[[#This Row],[Quantity]]*Sheet1[[#This Row],[UnitPrice]])=(Sheet1[[#This Row],[TotalPrice]]), "True", "False")</f>
        <v>True</v>
      </c>
      <c r="P869" t="str">
        <f>IF((Sheet1[[#This Row],[ItemsInCart]]&gt;=Sheet1[[#This Row],[Quantity]]), "Good", "Bad")</f>
        <v>Good</v>
      </c>
      <c r="Q869" t="str">
        <f t="shared" si="65"/>
        <v>OK</v>
      </c>
      <c r="R869" t="str">
        <f t="shared" si="66"/>
        <v>GOOD</v>
      </c>
      <c r="S869">
        <f t="shared" si="67"/>
        <v>0</v>
      </c>
      <c r="T869">
        <f t="shared" si="68"/>
        <v>0</v>
      </c>
      <c r="U869" t="str">
        <f t="shared" si="69"/>
        <v>OK</v>
      </c>
    </row>
    <row r="870" spans="1:21">
      <c r="A870" t="s">
        <v>882</v>
      </c>
      <c r="B870" t="s">
        <v>4593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4961</v>
      </c>
      <c r="M870" t="s">
        <v>4281</v>
      </c>
      <c r="N870">
        <v>1265.28</v>
      </c>
      <c r="O870" t="str">
        <f>IF((Sheet1[[#This Row],[Quantity]]*Sheet1[[#This Row],[UnitPrice]])=(Sheet1[[#This Row],[TotalPrice]]), "True", "False")</f>
        <v>True</v>
      </c>
      <c r="P870" t="str">
        <f>IF((Sheet1[[#This Row],[ItemsInCart]]&gt;=Sheet1[[#This Row],[Quantity]]), "Good", "Bad")</f>
        <v>Good</v>
      </c>
      <c r="Q870" t="str">
        <f t="shared" si="65"/>
        <v>OK</v>
      </c>
      <c r="R870" t="str">
        <f t="shared" si="66"/>
        <v>GOOD</v>
      </c>
      <c r="S870">
        <f t="shared" si="67"/>
        <v>0</v>
      </c>
      <c r="T870">
        <f t="shared" si="68"/>
        <v>0</v>
      </c>
      <c r="U870" t="str">
        <f t="shared" si="69"/>
        <v>OK</v>
      </c>
    </row>
    <row r="871" spans="1:21">
      <c r="A871" t="s">
        <v>883</v>
      </c>
      <c r="B871" t="s">
        <v>4820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 t="str">
        <f>IF((Sheet1[[#This Row],[Quantity]]*Sheet1[[#This Row],[UnitPrice]])=(Sheet1[[#This Row],[TotalPrice]]), "True", "False")</f>
        <v>True</v>
      </c>
      <c r="P871" t="str">
        <f>IF((Sheet1[[#This Row],[ItemsInCart]]&gt;=Sheet1[[#This Row],[Quantity]]), "Good", "Bad")</f>
        <v>Good</v>
      </c>
      <c r="Q871" t="str">
        <f t="shared" si="65"/>
        <v>OK</v>
      </c>
      <c r="R871" t="str">
        <f t="shared" si="66"/>
        <v>GOOD</v>
      </c>
      <c r="S871">
        <f t="shared" si="67"/>
        <v>0</v>
      </c>
      <c r="T871">
        <f t="shared" si="68"/>
        <v>0</v>
      </c>
      <c r="U871" t="str">
        <f t="shared" si="69"/>
        <v>OK</v>
      </c>
    </row>
    <row r="872" spans="1:21">
      <c r="A872" t="s">
        <v>884</v>
      </c>
      <c r="B872" t="s">
        <v>4848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 t="str">
        <f>IF((Sheet1[[#This Row],[Quantity]]*Sheet1[[#This Row],[UnitPrice]])=(Sheet1[[#This Row],[TotalPrice]]), "True", "False")</f>
        <v>True</v>
      </c>
      <c r="P872" t="str">
        <f>IF((Sheet1[[#This Row],[ItemsInCart]]&gt;=Sheet1[[#This Row],[Quantity]]), "Good", "Bad")</f>
        <v>Good</v>
      </c>
      <c r="Q872" t="str">
        <f t="shared" si="65"/>
        <v>OK</v>
      </c>
      <c r="R872" t="str">
        <f t="shared" si="66"/>
        <v>GOOD</v>
      </c>
      <c r="S872">
        <f t="shared" si="67"/>
        <v>0</v>
      </c>
      <c r="T872">
        <f t="shared" si="68"/>
        <v>0</v>
      </c>
      <c r="U872" t="str">
        <f t="shared" si="69"/>
        <v>OK</v>
      </c>
    </row>
    <row r="873" spans="1:21">
      <c r="A873" t="s">
        <v>885</v>
      </c>
      <c r="B873" t="s">
        <v>4432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 t="str">
        <f>IF((Sheet1[[#This Row],[Quantity]]*Sheet1[[#This Row],[UnitPrice]])=(Sheet1[[#This Row],[TotalPrice]]), "True", "False")</f>
        <v>True</v>
      </c>
      <c r="P873" t="str">
        <f>IF((Sheet1[[#This Row],[ItemsInCart]]&gt;=Sheet1[[#This Row],[Quantity]]), "Good", "Bad")</f>
        <v>Good</v>
      </c>
      <c r="Q873" t="str">
        <f t="shared" si="65"/>
        <v>OK</v>
      </c>
      <c r="R873" t="str">
        <f t="shared" si="66"/>
        <v>BAD</v>
      </c>
      <c r="S873">
        <f t="shared" si="67"/>
        <v>0</v>
      </c>
      <c r="T873">
        <f t="shared" si="68"/>
        <v>1</v>
      </c>
      <c r="U873" t="str">
        <f t="shared" si="69"/>
        <v>DOCUMENTED</v>
      </c>
    </row>
    <row r="874" spans="1:21">
      <c r="A874" t="s">
        <v>886</v>
      </c>
      <c r="B874" t="s">
        <v>4849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4961</v>
      </c>
      <c r="M874" t="s">
        <v>4280</v>
      </c>
      <c r="N874">
        <v>2517.36</v>
      </c>
      <c r="O874" t="str">
        <f>IF((Sheet1[[#This Row],[Quantity]]*Sheet1[[#This Row],[UnitPrice]])=(Sheet1[[#This Row],[TotalPrice]]), "True", "False")</f>
        <v>True</v>
      </c>
      <c r="P874" t="str">
        <f>IF((Sheet1[[#This Row],[ItemsInCart]]&gt;=Sheet1[[#This Row],[Quantity]]), "Good", "Bad")</f>
        <v>Good</v>
      </c>
      <c r="Q874" t="str">
        <f t="shared" si="65"/>
        <v>OK</v>
      </c>
      <c r="R874" t="str">
        <f t="shared" si="66"/>
        <v>GOOD</v>
      </c>
      <c r="S874">
        <f t="shared" si="67"/>
        <v>0</v>
      </c>
      <c r="T874">
        <f t="shared" si="68"/>
        <v>0</v>
      </c>
      <c r="U874" t="str">
        <f t="shared" si="69"/>
        <v>OK</v>
      </c>
    </row>
    <row r="875" spans="1:21">
      <c r="A875" t="s">
        <v>887</v>
      </c>
      <c r="B875" t="s">
        <v>4541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 t="str">
        <f>IF((Sheet1[[#This Row],[Quantity]]*Sheet1[[#This Row],[UnitPrice]])=(Sheet1[[#This Row],[TotalPrice]]), "True", "False")</f>
        <v>True</v>
      </c>
      <c r="P875" t="str">
        <f>IF((Sheet1[[#This Row],[ItemsInCart]]&gt;=Sheet1[[#This Row],[Quantity]]), "Good", "Bad")</f>
        <v>Good</v>
      </c>
      <c r="Q875" t="str">
        <f t="shared" si="65"/>
        <v>OK</v>
      </c>
      <c r="R875" t="str">
        <f t="shared" si="66"/>
        <v>GOOD</v>
      </c>
      <c r="S875">
        <f t="shared" si="67"/>
        <v>0</v>
      </c>
      <c r="T875">
        <f t="shared" si="68"/>
        <v>0</v>
      </c>
      <c r="U875" t="str">
        <f t="shared" si="69"/>
        <v>OK</v>
      </c>
    </row>
    <row r="876" spans="1:21">
      <c r="A876" t="s">
        <v>888</v>
      </c>
      <c r="B876" t="s">
        <v>4433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 t="str">
        <f>IF((Sheet1[[#This Row],[Quantity]]*Sheet1[[#This Row],[UnitPrice]])=(Sheet1[[#This Row],[TotalPrice]]), "True", "False")</f>
        <v>True</v>
      </c>
      <c r="P876" t="str">
        <f>IF((Sheet1[[#This Row],[ItemsInCart]]&gt;=Sheet1[[#This Row],[Quantity]]), "Good", "Bad")</f>
        <v>Good</v>
      </c>
      <c r="Q876" t="str">
        <f t="shared" si="65"/>
        <v>OK</v>
      </c>
      <c r="R876" t="str">
        <f t="shared" si="66"/>
        <v>GOOD</v>
      </c>
      <c r="S876">
        <f t="shared" si="67"/>
        <v>0</v>
      </c>
      <c r="T876">
        <f t="shared" si="68"/>
        <v>0</v>
      </c>
      <c r="U876" t="str">
        <f t="shared" si="69"/>
        <v>OK</v>
      </c>
    </row>
    <row r="877" spans="1:21">
      <c r="A877" t="s">
        <v>889</v>
      </c>
      <c r="B877" t="s">
        <v>4850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 t="str">
        <f>IF((Sheet1[[#This Row],[Quantity]]*Sheet1[[#This Row],[UnitPrice]])=(Sheet1[[#This Row],[TotalPrice]]), "True", "False")</f>
        <v>True</v>
      </c>
      <c r="P877" t="str">
        <f>IF((Sheet1[[#This Row],[ItemsInCart]]&gt;=Sheet1[[#This Row],[Quantity]]), "Good", "Bad")</f>
        <v>Good</v>
      </c>
      <c r="Q877" t="str">
        <f t="shared" si="65"/>
        <v>OK</v>
      </c>
      <c r="R877" t="str">
        <f t="shared" si="66"/>
        <v>GOOD</v>
      </c>
      <c r="S877">
        <f t="shared" si="67"/>
        <v>0</v>
      </c>
      <c r="T877">
        <f t="shared" si="68"/>
        <v>0</v>
      </c>
      <c r="U877" t="str">
        <f t="shared" si="69"/>
        <v>OK</v>
      </c>
    </row>
    <row r="878" spans="1:21">
      <c r="A878" t="s">
        <v>890</v>
      </c>
      <c r="B878" t="s">
        <v>4693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 t="str">
        <f>IF((Sheet1[[#This Row],[Quantity]]*Sheet1[[#This Row],[UnitPrice]])=(Sheet1[[#This Row],[TotalPrice]]), "True", "False")</f>
        <v>True</v>
      </c>
      <c r="P878" t="str">
        <f>IF((Sheet1[[#This Row],[ItemsInCart]]&gt;=Sheet1[[#This Row],[Quantity]]), "Good", "Bad")</f>
        <v>Good</v>
      </c>
      <c r="Q878" t="str">
        <f t="shared" si="65"/>
        <v>OK</v>
      </c>
      <c r="R878" t="str">
        <f t="shared" si="66"/>
        <v>BAD</v>
      </c>
      <c r="S878">
        <f t="shared" si="67"/>
        <v>0</v>
      </c>
      <c r="T878">
        <f t="shared" si="68"/>
        <v>1</v>
      </c>
      <c r="U878" t="str">
        <f t="shared" si="69"/>
        <v>DOCUMENTED</v>
      </c>
    </row>
    <row r="879" spans="1:21">
      <c r="A879" t="s">
        <v>891</v>
      </c>
      <c r="B879" t="s">
        <v>4851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 t="str">
        <f>IF((Sheet1[[#This Row],[Quantity]]*Sheet1[[#This Row],[UnitPrice]])=(Sheet1[[#This Row],[TotalPrice]]), "True", "False")</f>
        <v>True</v>
      </c>
      <c r="P879" t="str">
        <f>IF((Sheet1[[#This Row],[ItemsInCart]]&gt;=Sheet1[[#This Row],[Quantity]]), "Good", "Bad")</f>
        <v>Good</v>
      </c>
      <c r="Q879" t="str">
        <f t="shared" si="65"/>
        <v>OK</v>
      </c>
      <c r="R879" t="str">
        <f t="shared" si="66"/>
        <v>BAD</v>
      </c>
      <c r="S879">
        <f t="shared" si="67"/>
        <v>0</v>
      </c>
      <c r="T879">
        <f t="shared" si="68"/>
        <v>1</v>
      </c>
      <c r="U879" t="str">
        <f t="shared" si="69"/>
        <v>DOCUMENTED</v>
      </c>
    </row>
    <row r="880" spans="1:21">
      <c r="A880" t="s">
        <v>892</v>
      </c>
      <c r="B880" t="s">
        <v>4852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 t="str">
        <f>IF((Sheet1[[#This Row],[Quantity]]*Sheet1[[#This Row],[UnitPrice]])=(Sheet1[[#This Row],[TotalPrice]]), "True", "False")</f>
        <v>True</v>
      </c>
      <c r="P880" t="str">
        <f>IF((Sheet1[[#This Row],[ItemsInCart]]&gt;=Sheet1[[#This Row],[Quantity]]), "Good", "Bad")</f>
        <v>Good</v>
      </c>
      <c r="Q880" t="str">
        <f t="shared" si="65"/>
        <v>OK</v>
      </c>
      <c r="R880" t="str">
        <f t="shared" si="66"/>
        <v>BAD</v>
      </c>
      <c r="S880">
        <f t="shared" si="67"/>
        <v>0</v>
      </c>
      <c r="T880">
        <f t="shared" si="68"/>
        <v>1</v>
      </c>
      <c r="U880" t="str">
        <f t="shared" si="69"/>
        <v>REVIEW_RETURN</v>
      </c>
    </row>
    <row r="881" spans="1:21">
      <c r="A881" t="s">
        <v>893</v>
      </c>
      <c r="B881" t="s">
        <v>4711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4961</v>
      </c>
      <c r="M881" t="s">
        <v>4278</v>
      </c>
      <c r="N881">
        <v>1095.3399999999999</v>
      </c>
      <c r="O881" t="str">
        <f>IF((Sheet1[[#This Row],[Quantity]]*Sheet1[[#This Row],[UnitPrice]])=(Sheet1[[#This Row],[TotalPrice]]), "True", "False")</f>
        <v>True</v>
      </c>
      <c r="P881" t="str">
        <f>IF((Sheet1[[#This Row],[ItemsInCart]]&gt;=Sheet1[[#This Row],[Quantity]]), "Good", "Bad")</f>
        <v>Good</v>
      </c>
      <c r="Q881" t="str">
        <f t="shared" si="65"/>
        <v>OK</v>
      </c>
      <c r="R881" t="str">
        <f t="shared" si="66"/>
        <v>GOOD</v>
      </c>
      <c r="S881">
        <f t="shared" si="67"/>
        <v>0</v>
      </c>
      <c r="T881">
        <f t="shared" si="68"/>
        <v>0</v>
      </c>
      <c r="U881" t="str">
        <f t="shared" si="69"/>
        <v>OK</v>
      </c>
    </row>
    <row r="882" spans="1:21">
      <c r="A882" t="s">
        <v>894</v>
      </c>
      <c r="B882" t="s">
        <v>4778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 t="str">
        <f>IF((Sheet1[[#This Row],[Quantity]]*Sheet1[[#This Row],[UnitPrice]])=(Sheet1[[#This Row],[TotalPrice]]), "True", "False")</f>
        <v>True</v>
      </c>
      <c r="P882" t="str">
        <f>IF((Sheet1[[#This Row],[ItemsInCart]]&gt;=Sheet1[[#This Row],[Quantity]]), "Good", "Bad")</f>
        <v>Good</v>
      </c>
      <c r="Q882" t="str">
        <f t="shared" si="65"/>
        <v>OK</v>
      </c>
      <c r="R882" t="str">
        <f t="shared" si="66"/>
        <v>GOOD</v>
      </c>
      <c r="S882">
        <f t="shared" si="67"/>
        <v>0</v>
      </c>
      <c r="T882">
        <f t="shared" si="68"/>
        <v>0</v>
      </c>
      <c r="U882" t="str">
        <f t="shared" si="69"/>
        <v>OK</v>
      </c>
    </row>
    <row r="883" spans="1:21">
      <c r="A883" t="s">
        <v>895</v>
      </c>
      <c r="B883" t="s">
        <v>4853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4961</v>
      </c>
      <c r="M883" t="s">
        <v>4278</v>
      </c>
      <c r="N883">
        <v>897.7</v>
      </c>
      <c r="O883" t="str">
        <f>IF((Sheet1[[#This Row],[Quantity]]*Sheet1[[#This Row],[UnitPrice]])=(Sheet1[[#This Row],[TotalPrice]]), "True", "False")</f>
        <v>True</v>
      </c>
      <c r="P883" t="str">
        <f>IF((Sheet1[[#This Row],[ItemsInCart]]&gt;=Sheet1[[#This Row],[Quantity]]), "Good", "Bad")</f>
        <v>Good</v>
      </c>
      <c r="Q883" t="str">
        <f t="shared" si="65"/>
        <v>OK</v>
      </c>
      <c r="R883" t="str">
        <f t="shared" si="66"/>
        <v>BAD</v>
      </c>
      <c r="S883">
        <f t="shared" si="67"/>
        <v>0</v>
      </c>
      <c r="T883">
        <f t="shared" si="68"/>
        <v>1</v>
      </c>
      <c r="U883" t="str">
        <f t="shared" si="69"/>
        <v>DOCUMENTED</v>
      </c>
    </row>
    <row r="884" spans="1:21">
      <c r="A884" t="s">
        <v>896</v>
      </c>
      <c r="B884" t="s">
        <v>4447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 t="str">
        <f>IF((Sheet1[[#This Row],[Quantity]]*Sheet1[[#This Row],[UnitPrice]])=(Sheet1[[#This Row],[TotalPrice]]), "True", "False")</f>
        <v>True</v>
      </c>
      <c r="P884" t="str">
        <f>IF((Sheet1[[#This Row],[ItemsInCart]]&gt;=Sheet1[[#This Row],[Quantity]]), "Good", "Bad")</f>
        <v>Good</v>
      </c>
      <c r="Q884" t="str">
        <f t="shared" si="65"/>
        <v>OK</v>
      </c>
      <c r="R884" t="str">
        <f t="shared" si="66"/>
        <v>GOOD</v>
      </c>
      <c r="S884">
        <f t="shared" si="67"/>
        <v>0</v>
      </c>
      <c r="T884">
        <f t="shared" si="68"/>
        <v>0</v>
      </c>
      <c r="U884" t="str">
        <f t="shared" si="69"/>
        <v>OK</v>
      </c>
    </row>
    <row r="885" spans="1:21">
      <c r="A885" t="s">
        <v>897</v>
      </c>
      <c r="B885" t="s">
        <v>4840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 t="str">
        <f>IF((Sheet1[[#This Row],[Quantity]]*Sheet1[[#This Row],[UnitPrice]])=(Sheet1[[#This Row],[TotalPrice]]), "True", "False")</f>
        <v>True</v>
      </c>
      <c r="P885" t="str">
        <f>IF((Sheet1[[#This Row],[ItemsInCart]]&gt;=Sheet1[[#This Row],[Quantity]]), "Good", "Bad")</f>
        <v>Good</v>
      </c>
      <c r="Q885" t="str">
        <f t="shared" si="65"/>
        <v>OK</v>
      </c>
      <c r="R885" t="str">
        <f t="shared" si="66"/>
        <v>GOOD</v>
      </c>
      <c r="S885">
        <f t="shared" si="67"/>
        <v>0</v>
      </c>
      <c r="T885">
        <f t="shared" si="68"/>
        <v>0</v>
      </c>
      <c r="U885" t="str">
        <f t="shared" si="69"/>
        <v>OK</v>
      </c>
    </row>
    <row r="886" spans="1:21">
      <c r="A886" t="s">
        <v>898</v>
      </c>
      <c r="B886" t="s">
        <v>4854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4961</v>
      </c>
      <c r="M886" t="s">
        <v>4278</v>
      </c>
      <c r="N886">
        <v>595.54</v>
      </c>
      <c r="O886" t="str">
        <f>IF((Sheet1[[#This Row],[Quantity]]*Sheet1[[#This Row],[UnitPrice]])=(Sheet1[[#This Row],[TotalPrice]]), "True", "False")</f>
        <v>True</v>
      </c>
      <c r="P886" t="str">
        <f>IF((Sheet1[[#This Row],[ItemsInCart]]&gt;=Sheet1[[#This Row],[Quantity]]), "Good", "Bad")</f>
        <v>Good</v>
      </c>
      <c r="Q886" t="str">
        <f t="shared" si="65"/>
        <v>OK</v>
      </c>
      <c r="R886" t="str">
        <f t="shared" si="66"/>
        <v>GOOD</v>
      </c>
      <c r="S886">
        <f t="shared" si="67"/>
        <v>0</v>
      </c>
      <c r="T886">
        <f t="shared" si="68"/>
        <v>0</v>
      </c>
      <c r="U886" t="str">
        <f t="shared" si="69"/>
        <v>OK</v>
      </c>
    </row>
    <row r="887" spans="1:21">
      <c r="A887" t="s">
        <v>899</v>
      </c>
      <c r="B887" t="s">
        <v>4441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 t="str">
        <f>IF((Sheet1[[#This Row],[Quantity]]*Sheet1[[#This Row],[UnitPrice]])=(Sheet1[[#This Row],[TotalPrice]]), "True", "False")</f>
        <v>True</v>
      </c>
      <c r="P887" t="str">
        <f>IF((Sheet1[[#This Row],[ItemsInCart]]&gt;=Sheet1[[#This Row],[Quantity]]), "Good", "Bad")</f>
        <v>Good</v>
      </c>
      <c r="Q887" t="str">
        <f t="shared" si="65"/>
        <v>OK</v>
      </c>
      <c r="R887" t="str">
        <f t="shared" si="66"/>
        <v>GOOD</v>
      </c>
      <c r="S887">
        <f t="shared" si="67"/>
        <v>0</v>
      </c>
      <c r="T887">
        <f t="shared" si="68"/>
        <v>0</v>
      </c>
      <c r="U887" t="str">
        <f t="shared" si="69"/>
        <v>OK</v>
      </c>
    </row>
    <row r="888" spans="1:21">
      <c r="A888" t="s">
        <v>900</v>
      </c>
      <c r="B888" t="s">
        <v>4668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4961</v>
      </c>
      <c r="M888" t="s">
        <v>4282</v>
      </c>
      <c r="N888">
        <v>460.13</v>
      </c>
      <c r="O888" t="str">
        <f>IF((Sheet1[[#This Row],[Quantity]]*Sheet1[[#This Row],[UnitPrice]])=(Sheet1[[#This Row],[TotalPrice]]), "True", "False")</f>
        <v>True</v>
      </c>
      <c r="P888" t="str">
        <f>IF((Sheet1[[#This Row],[ItemsInCart]]&gt;=Sheet1[[#This Row],[Quantity]]), "Good", "Bad")</f>
        <v>Good</v>
      </c>
      <c r="Q888" t="str">
        <f t="shared" si="65"/>
        <v>OK</v>
      </c>
      <c r="R888" t="str">
        <f t="shared" si="66"/>
        <v>GOOD</v>
      </c>
      <c r="S888">
        <f t="shared" si="67"/>
        <v>0</v>
      </c>
      <c r="T888">
        <f t="shared" si="68"/>
        <v>0</v>
      </c>
      <c r="U888" t="str">
        <f t="shared" si="69"/>
        <v>OK</v>
      </c>
    </row>
    <row r="889" spans="1:21">
      <c r="A889" t="s">
        <v>901</v>
      </c>
      <c r="B889" t="s">
        <v>4319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4961</v>
      </c>
      <c r="M889" t="s">
        <v>4282</v>
      </c>
      <c r="N889">
        <v>514.98</v>
      </c>
      <c r="O889" t="str">
        <f>IF((Sheet1[[#This Row],[Quantity]]*Sheet1[[#This Row],[UnitPrice]])=(Sheet1[[#This Row],[TotalPrice]]), "True", "False")</f>
        <v>True</v>
      </c>
      <c r="P889" t="str">
        <f>IF((Sheet1[[#This Row],[ItemsInCart]]&gt;=Sheet1[[#This Row],[Quantity]]), "Good", "Bad")</f>
        <v>Good</v>
      </c>
      <c r="Q889" t="str">
        <f t="shared" si="65"/>
        <v>OK</v>
      </c>
      <c r="R889" t="str">
        <f t="shared" si="66"/>
        <v>GOOD</v>
      </c>
      <c r="S889">
        <f t="shared" si="67"/>
        <v>0</v>
      </c>
      <c r="T889">
        <f t="shared" si="68"/>
        <v>0</v>
      </c>
      <c r="U889" t="str">
        <f t="shared" si="69"/>
        <v>OK</v>
      </c>
    </row>
    <row r="890" spans="1:21">
      <c r="A890" t="s">
        <v>902</v>
      </c>
      <c r="B890" t="s">
        <v>4855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4961</v>
      </c>
      <c r="M890" t="s">
        <v>4278</v>
      </c>
      <c r="N890">
        <v>533.9</v>
      </c>
      <c r="O890" t="str">
        <f>IF((Sheet1[[#This Row],[Quantity]]*Sheet1[[#This Row],[UnitPrice]])=(Sheet1[[#This Row],[TotalPrice]]), "True", "False")</f>
        <v>True</v>
      </c>
      <c r="P890" t="str">
        <f>IF((Sheet1[[#This Row],[ItemsInCart]]&gt;=Sheet1[[#This Row],[Quantity]]), "Good", "Bad")</f>
        <v>Good</v>
      </c>
      <c r="Q890" t="str">
        <f t="shared" si="65"/>
        <v>OK</v>
      </c>
      <c r="R890" t="str">
        <f t="shared" si="66"/>
        <v>BAD</v>
      </c>
      <c r="S890">
        <f t="shared" si="67"/>
        <v>0</v>
      </c>
      <c r="T890">
        <f t="shared" si="68"/>
        <v>1</v>
      </c>
      <c r="U890" t="str">
        <f t="shared" si="69"/>
        <v>DOCUMENTED</v>
      </c>
    </row>
    <row r="891" spans="1:21">
      <c r="A891" t="s">
        <v>903</v>
      </c>
      <c r="B891" t="s">
        <v>4528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 t="str">
        <f>IF((Sheet1[[#This Row],[Quantity]]*Sheet1[[#This Row],[UnitPrice]])=(Sheet1[[#This Row],[TotalPrice]]), "True", "False")</f>
        <v>True</v>
      </c>
      <c r="P891" t="str">
        <f>IF((Sheet1[[#This Row],[ItemsInCart]]&gt;=Sheet1[[#This Row],[Quantity]]), "Good", "Bad")</f>
        <v>Good</v>
      </c>
      <c r="Q891" t="str">
        <f t="shared" si="65"/>
        <v>OK</v>
      </c>
      <c r="R891" t="str">
        <f t="shared" si="66"/>
        <v>BAD</v>
      </c>
      <c r="S891">
        <f t="shared" si="67"/>
        <v>0</v>
      </c>
      <c r="T891">
        <f t="shared" si="68"/>
        <v>1</v>
      </c>
      <c r="U891" t="str">
        <f t="shared" si="69"/>
        <v>REVIEW_RETURN</v>
      </c>
    </row>
    <row r="892" spans="1:21">
      <c r="A892" t="s">
        <v>904</v>
      </c>
      <c r="B892" t="s">
        <v>4461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4961</v>
      </c>
      <c r="M892" t="s">
        <v>4282</v>
      </c>
      <c r="N892">
        <v>1318.59</v>
      </c>
      <c r="O892" t="str">
        <f>IF((Sheet1[[#This Row],[Quantity]]*Sheet1[[#This Row],[UnitPrice]])=(Sheet1[[#This Row],[TotalPrice]]), "True", "False")</f>
        <v>True</v>
      </c>
      <c r="P892" t="str">
        <f>IF((Sheet1[[#This Row],[ItemsInCart]]&gt;=Sheet1[[#This Row],[Quantity]]), "Good", "Bad")</f>
        <v>Good</v>
      </c>
      <c r="Q892" t="str">
        <f t="shared" si="65"/>
        <v>OK</v>
      </c>
      <c r="R892" t="str">
        <f t="shared" si="66"/>
        <v>BAD</v>
      </c>
      <c r="S892">
        <f t="shared" si="67"/>
        <v>0</v>
      </c>
      <c r="T892">
        <f t="shared" si="68"/>
        <v>1</v>
      </c>
      <c r="U892" t="str">
        <f t="shared" si="69"/>
        <v>DOCUMENTED</v>
      </c>
    </row>
    <row r="893" spans="1:21">
      <c r="A893" t="s">
        <v>905</v>
      </c>
      <c r="B893" t="s">
        <v>4716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 t="str">
        <f>IF((Sheet1[[#This Row],[Quantity]]*Sheet1[[#This Row],[UnitPrice]])=(Sheet1[[#This Row],[TotalPrice]]), "True", "False")</f>
        <v>True</v>
      </c>
      <c r="P893" t="str">
        <f>IF((Sheet1[[#This Row],[ItemsInCart]]&gt;=Sheet1[[#This Row],[Quantity]]), "Good", "Bad")</f>
        <v>Good</v>
      </c>
      <c r="Q893" t="str">
        <f t="shared" si="65"/>
        <v>OK</v>
      </c>
      <c r="R893" t="str">
        <f t="shared" si="66"/>
        <v>GOOD</v>
      </c>
      <c r="S893">
        <f t="shared" si="67"/>
        <v>0</v>
      </c>
      <c r="T893">
        <f t="shared" si="68"/>
        <v>0</v>
      </c>
      <c r="U893" t="str">
        <f t="shared" si="69"/>
        <v>OK</v>
      </c>
    </row>
    <row r="894" spans="1:21">
      <c r="A894" t="s">
        <v>906</v>
      </c>
      <c r="B894" t="s">
        <v>4856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 t="str">
        <f>IF((Sheet1[[#This Row],[Quantity]]*Sheet1[[#This Row],[UnitPrice]])=(Sheet1[[#This Row],[TotalPrice]]), "True", "False")</f>
        <v>True</v>
      </c>
      <c r="P894" t="str">
        <f>IF((Sheet1[[#This Row],[ItemsInCart]]&gt;=Sheet1[[#This Row],[Quantity]]), "Good", "Bad")</f>
        <v>Good</v>
      </c>
      <c r="Q894" t="str">
        <f t="shared" si="65"/>
        <v>OK</v>
      </c>
      <c r="R894" t="str">
        <f t="shared" si="66"/>
        <v>GOOD</v>
      </c>
      <c r="S894">
        <f t="shared" si="67"/>
        <v>0</v>
      </c>
      <c r="T894">
        <f t="shared" si="68"/>
        <v>0</v>
      </c>
      <c r="U894" t="str">
        <f t="shared" si="69"/>
        <v>OK</v>
      </c>
    </row>
    <row r="895" spans="1:21">
      <c r="A895" t="s">
        <v>907</v>
      </c>
      <c r="B895" t="s">
        <v>4857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 t="str">
        <f>IF((Sheet1[[#This Row],[Quantity]]*Sheet1[[#This Row],[UnitPrice]])=(Sheet1[[#This Row],[TotalPrice]]), "True", "False")</f>
        <v>True</v>
      </c>
      <c r="P895" t="str">
        <f>IF((Sheet1[[#This Row],[ItemsInCart]]&gt;=Sheet1[[#This Row],[Quantity]]), "Good", "Bad")</f>
        <v>Good</v>
      </c>
      <c r="Q895" t="str">
        <f t="shared" si="65"/>
        <v>OK</v>
      </c>
      <c r="R895" t="str">
        <f t="shared" si="66"/>
        <v>BAD</v>
      </c>
      <c r="S895">
        <f t="shared" si="67"/>
        <v>0</v>
      </c>
      <c r="T895">
        <f t="shared" si="68"/>
        <v>1</v>
      </c>
      <c r="U895" t="str">
        <f t="shared" si="69"/>
        <v>DOCUMENTED</v>
      </c>
    </row>
    <row r="896" spans="1:21">
      <c r="A896" t="s">
        <v>908</v>
      </c>
      <c r="B896" t="s">
        <v>4858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 t="str">
        <f>IF((Sheet1[[#This Row],[Quantity]]*Sheet1[[#This Row],[UnitPrice]])=(Sheet1[[#This Row],[TotalPrice]]), "True", "False")</f>
        <v>True</v>
      </c>
      <c r="P896" t="str">
        <f>IF((Sheet1[[#This Row],[ItemsInCart]]&gt;=Sheet1[[#This Row],[Quantity]]), "Good", "Bad")</f>
        <v>Good</v>
      </c>
      <c r="Q896" t="str">
        <f t="shared" si="65"/>
        <v>OK</v>
      </c>
      <c r="R896" t="str">
        <f t="shared" si="66"/>
        <v>BAD</v>
      </c>
      <c r="S896">
        <f t="shared" si="67"/>
        <v>0</v>
      </c>
      <c r="T896">
        <f t="shared" si="68"/>
        <v>1</v>
      </c>
      <c r="U896" t="str">
        <f t="shared" si="69"/>
        <v>REVIEW_RETURN</v>
      </c>
    </row>
    <row r="897" spans="1:21">
      <c r="A897" t="s">
        <v>909</v>
      </c>
      <c r="B897" t="s">
        <v>4859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 t="str">
        <f>IF((Sheet1[[#This Row],[Quantity]]*Sheet1[[#This Row],[UnitPrice]])=(Sheet1[[#This Row],[TotalPrice]]), "True", "False")</f>
        <v>True</v>
      </c>
      <c r="P897" t="str">
        <f>IF((Sheet1[[#This Row],[ItemsInCart]]&gt;=Sheet1[[#This Row],[Quantity]]), "Good", "Bad")</f>
        <v>Good</v>
      </c>
      <c r="Q897" t="str">
        <f t="shared" si="65"/>
        <v>OK</v>
      </c>
      <c r="R897" t="str">
        <f t="shared" si="66"/>
        <v>BAD</v>
      </c>
      <c r="S897">
        <f t="shared" si="67"/>
        <v>0</v>
      </c>
      <c r="T897">
        <f t="shared" si="68"/>
        <v>1</v>
      </c>
      <c r="U897" t="str">
        <f t="shared" si="69"/>
        <v>DOCUMENTED</v>
      </c>
    </row>
    <row r="898" spans="1:21">
      <c r="A898" t="s">
        <v>910</v>
      </c>
      <c r="B898" t="s">
        <v>4549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 t="str">
        <f>IF((Sheet1[[#This Row],[Quantity]]*Sheet1[[#This Row],[UnitPrice]])=(Sheet1[[#This Row],[TotalPrice]]), "True", "False")</f>
        <v>True</v>
      </c>
      <c r="P898" t="str">
        <f>IF((Sheet1[[#This Row],[ItemsInCart]]&gt;=Sheet1[[#This Row],[Quantity]]), "Good", "Bad")</f>
        <v>Good</v>
      </c>
      <c r="Q898" t="str">
        <f t="shared" ref="Q898:Q961" si="70">IF(AND(E898&gt;0, F898&gt;0,N898&gt;0),"OK","INVALID")</f>
        <v>OK</v>
      </c>
      <c r="R898" t="str">
        <f t="shared" ref="R898:R961" si="71">IF(OR(AND(OR(I898="Shipped",I898="Delivered",I898="Returned"),J898=""),AND(OR(I898="Processing",I898="Pending",I898="Cancelled"),J898&lt;&gt;"")),"BAD","GOOD")</f>
        <v>GOOD</v>
      </c>
      <c r="S898">
        <f t="shared" ref="S898:S961" si="72">IF(AND(OR(I898="Shipped",I898="Delivered",I898="Returned"),J898=""),1,0)</f>
        <v>0</v>
      </c>
      <c r="T898">
        <f t="shared" ref="T898:T961" si="73">IF(AND(OR(I898="Processing",I898="Pending",I898="Cancelled"),J898&lt;&gt;""),1,0)</f>
        <v>0</v>
      </c>
      <c r="U898" t="str">
        <f t="shared" ref="U898:U961" si="74">IF(AND(OR(I898="Shipped",I898="Delivered"),J898=""),"MISSING_TRACKING", IF(AND(OR(I898="Processing",I898="Pending"),J898&lt;&gt;""),"DOCUMENTED", IF(AND(I898="Cancelled",J898&lt;&gt;""), "REVIEW_RETURN", "OK")))</f>
        <v>OK</v>
      </c>
    </row>
    <row r="899" spans="1:21">
      <c r="A899" t="s">
        <v>911</v>
      </c>
      <c r="B899" t="s">
        <v>4742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 t="str">
        <f>IF((Sheet1[[#This Row],[Quantity]]*Sheet1[[#This Row],[UnitPrice]])=(Sheet1[[#This Row],[TotalPrice]]), "True", "False")</f>
        <v>True</v>
      </c>
      <c r="P899" t="str">
        <f>IF((Sheet1[[#This Row],[ItemsInCart]]&gt;=Sheet1[[#This Row],[Quantity]]), "Good", "Bad")</f>
        <v>Good</v>
      </c>
      <c r="Q899" t="str">
        <f t="shared" si="70"/>
        <v>OK</v>
      </c>
      <c r="R899" t="str">
        <f t="shared" si="71"/>
        <v>GOOD</v>
      </c>
      <c r="S899">
        <f t="shared" si="72"/>
        <v>0</v>
      </c>
      <c r="T899">
        <f t="shared" si="73"/>
        <v>0</v>
      </c>
      <c r="U899" t="str">
        <f t="shared" si="74"/>
        <v>OK</v>
      </c>
    </row>
    <row r="900" spans="1:21">
      <c r="A900" t="s">
        <v>912</v>
      </c>
      <c r="B900" t="s">
        <v>4659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4961</v>
      </c>
      <c r="M900" t="s">
        <v>4279</v>
      </c>
      <c r="N900">
        <v>475.11</v>
      </c>
      <c r="O900" t="str">
        <f>IF((Sheet1[[#This Row],[Quantity]]*Sheet1[[#This Row],[UnitPrice]])=(Sheet1[[#This Row],[TotalPrice]]), "True", "False")</f>
        <v>True</v>
      </c>
      <c r="P900" t="str">
        <f>IF((Sheet1[[#This Row],[ItemsInCart]]&gt;=Sheet1[[#This Row],[Quantity]]), "Good", "Bad")</f>
        <v>Good</v>
      </c>
      <c r="Q900" t="str">
        <f t="shared" si="70"/>
        <v>OK</v>
      </c>
      <c r="R900" t="str">
        <f t="shared" si="71"/>
        <v>GOOD</v>
      </c>
      <c r="S900">
        <f t="shared" si="72"/>
        <v>0</v>
      </c>
      <c r="T900">
        <f t="shared" si="73"/>
        <v>0</v>
      </c>
      <c r="U900" t="str">
        <f t="shared" si="74"/>
        <v>OK</v>
      </c>
    </row>
    <row r="901" spans="1:21">
      <c r="A901" t="s">
        <v>913</v>
      </c>
      <c r="B901" t="s">
        <v>4860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 t="str">
        <f>IF((Sheet1[[#This Row],[Quantity]]*Sheet1[[#This Row],[UnitPrice]])=(Sheet1[[#This Row],[TotalPrice]]), "True", "False")</f>
        <v>True</v>
      </c>
      <c r="P901" t="str">
        <f>IF((Sheet1[[#This Row],[ItemsInCart]]&gt;=Sheet1[[#This Row],[Quantity]]), "Good", "Bad")</f>
        <v>Good</v>
      </c>
      <c r="Q901" t="str">
        <f t="shared" si="70"/>
        <v>OK</v>
      </c>
      <c r="R901" t="str">
        <f t="shared" si="71"/>
        <v>BAD</v>
      </c>
      <c r="S901">
        <f t="shared" si="72"/>
        <v>0</v>
      </c>
      <c r="T901">
        <f t="shared" si="73"/>
        <v>1</v>
      </c>
      <c r="U901" t="str">
        <f t="shared" si="74"/>
        <v>DOCUMENTED</v>
      </c>
    </row>
    <row r="902" spans="1:21">
      <c r="A902" t="s">
        <v>914</v>
      </c>
      <c r="B902" t="s">
        <v>4775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4961</v>
      </c>
      <c r="M902" t="s">
        <v>4278</v>
      </c>
      <c r="N902">
        <v>369.15</v>
      </c>
      <c r="O902" t="str">
        <f>IF((Sheet1[[#This Row],[Quantity]]*Sheet1[[#This Row],[UnitPrice]])=(Sheet1[[#This Row],[TotalPrice]]), "True", "False")</f>
        <v>True</v>
      </c>
      <c r="P902" t="str">
        <f>IF((Sheet1[[#This Row],[ItemsInCart]]&gt;=Sheet1[[#This Row],[Quantity]]), "Good", "Bad")</f>
        <v>Good</v>
      </c>
      <c r="Q902" t="str">
        <f t="shared" si="70"/>
        <v>OK</v>
      </c>
      <c r="R902" t="str">
        <f t="shared" si="71"/>
        <v>BAD</v>
      </c>
      <c r="S902">
        <f t="shared" si="72"/>
        <v>0</v>
      </c>
      <c r="T902">
        <f t="shared" si="73"/>
        <v>1</v>
      </c>
      <c r="U902" t="str">
        <f t="shared" si="74"/>
        <v>DOCUMENTED</v>
      </c>
    </row>
    <row r="903" spans="1:21">
      <c r="A903" t="s">
        <v>915</v>
      </c>
      <c r="B903" t="s">
        <v>4861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 t="str">
        <f>IF((Sheet1[[#This Row],[Quantity]]*Sheet1[[#This Row],[UnitPrice]])=(Sheet1[[#This Row],[TotalPrice]]), "True", "False")</f>
        <v>True</v>
      </c>
      <c r="P903" t="str">
        <f>IF((Sheet1[[#This Row],[ItemsInCart]]&gt;=Sheet1[[#This Row],[Quantity]]), "Good", "Bad")</f>
        <v>Good</v>
      </c>
      <c r="Q903" t="str">
        <f t="shared" si="70"/>
        <v>OK</v>
      </c>
      <c r="R903" t="str">
        <f t="shared" si="71"/>
        <v>GOOD</v>
      </c>
      <c r="S903">
        <f t="shared" si="72"/>
        <v>0</v>
      </c>
      <c r="T903">
        <f t="shared" si="73"/>
        <v>0</v>
      </c>
      <c r="U903" t="str">
        <f t="shared" si="74"/>
        <v>OK</v>
      </c>
    </row>
    <row r="904" spans="1:21">
      <c r="A904" t="s">
        <v>916</v>
      </c>
      <c r="B904" t="s">
        <v>4862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4961</v>
      </c>
      <c r="M904" t="s">
        <v>4281</v>
      </c>
      <c r="N904">
        <v>721</v>
      </c>
      <c r="O904" t="str">
        <f>IF((Sheet1[[#This Row],[Quantity]]*Sheet1[[#This Row],[UnitPrice]])=(Sheet1[[#This Row],[TotalPrice]]), "True", "False")</f>
        <v>True</v>
      </c>
      <c r="P904" t="str">
        <f>IF((Sheet1[[#This Row],[ItemsInCart]]&gt;=Sheet1[[#This Row],[Quantity]]), "Good", "Bad")</f>
        <v>Good</v>
      </c>
      <c r="Q904" t="str">
        <f t="shared" si="70"/>
        <v>OK</v>
      </c>
      <c r="R904" t="str">
        <f t="shared" si="71"/>
        <v>BAD</v>
      </c>
      <c r="S904">
        <f t="shared" si="72"/>
        <v>0</v>
      </c>
      <c r="T904">
        <f t="shared" si="73"/>
        <v>1</v>
      </c>
      <c r="U904" t="str">
        <f t="shared" si="74"/>
        <v>REVIEW_RETURN</v>
      </c>
    </row>
    <row r="905" spans="1:21">
      <c r="A905" t="s">
        <v>917</v>
      </c>
      <c r="B905" t="s">
        <v>4492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4961</v>
      </c>
      <c r="M905" t="s">
        <v>4280</v>
      </c>
      <c r="N905">
        <v>1420.47</v>
      </c>
      <c r="O905" t="str">
        <f>IF((Sheet1[[#This Row],[Quantity]]*Sheet1[[#This Row],[UnitPrice]])=(Sheet1[[#This Row],[TotalPrice]]), "True", "False")</f>
        <v>True</v>
      </c>
      <c r="P905" t="str">
        <f>IF((Sheet1[[#This Row],[ItemsInCart]]&gt;=Sheet1[[#This Row],[Quantity]]), "Good", "Bad")</f>
        <v>Good</v>
      </c>
      <c r="Q905" t="str">
        <f t="shared" si="70"/>
        <v>OK</v>
      </c>
      <c r="R905" t="str">
        <f t="shared" si="71"/>
        <v>BAD</v>
      </c>
      <c r="S905">
        <f t="shared" si="72"/>
        <v>0</v>
      </c>
      <c r="T905">
        <f t="shared" si="73"/>
        <v>1</v>
      </c>
      <c r="U905" t="str">
        <f t="shared" si="74"/>
        <v>DOCUMENTED</v>
      </c>
    </row>
    <row r="906" spans="1:21">
      <c r="A906" t="s">
        <v>918</v>
      </c>
      <c r="B906" t="s">
        <v>4863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 t="str">
        <f>IF((Sheet1[[#This Row],[Quantity]]*Sheet1[[#This Row],[UnitPrice]])=(Sheet1[[#This Row],[TotalPrice]]), "True", "False")</f>
        <v>True</v>
      </c>
      <c r="P906" t="str">
        <f>IF((Sheet1[[#This Row],[ItemsInCart]]&gt;=Sheet1[[#This Row],[Quantity]]), "Good", "Bad")</f>
        <v>Good</v>
      </c>
      <c r="Q906" t="str">
        <f t="shared" si="70"/>
        <v>OK</v>
      </c>
      <c r="R906" t="str">
        <f t="shared" si="71"/>
        <v>BAD</v>
      </c>
      <c r="S906">
        <f t="shared" si="72"/>
        <v>0</v>
      </c>
      <c r="T906">
        <f t="shared" si="73"/>
        <v>1</v>
      </c>
      <c r="U906" t="str">
        <f t="shared" si="74"/>
        <v>REVIEW_RETURN</v>
      </c>
    </row>
    <row r="907" spans="1:21">
      <c r="A907" t="s">
        <v>919</v>
      </c>
      <c r="B907" t="s">
        <v>4864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 t="str">
        <f>IF((Sheet1[[#This Row],[Quantity]]*Sheet1[[#This Row],[UnitPrice]])=(Sheet1[[#This Row],[TotalPrice]]), "True", "False")</f>
        <v>True</v>
      </c>
      <c r="P907" t="str">
        <f>IF((Sheet1[[#This Row],[ItemsInCart]]&gt;=Sheet1[[#This Row],[Quantity]]), "Good", "Bad")</f>
        <v>Good</v>
      </c>
      <c r="Q907" t="str">
        <f t="shared" si="70"/>
        <v>OK</v>
      </c>
      <c r="R907" t="str">
        <f t="shared" si="71"/>
        <v>BAD</v>
      </c>
      <c r="S907">
        <f t="shared" si="72"/>
        <v>0</v>
      </c>
      <c r="T907">
        <f t="shared" si="73"/>
        <v>1</v>
      </c>
      <c r="U907" t="str">
        <f t="shared" si="74"/>
        <v>DOCUMENTED</v>
      </c>
    </row>
    <row r="908" spans="1:21">
      <c r="A908" t="s">
        <v>920</v>
      </c>
      <c r="B908" t="s">
        <v>4742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4961</v>
      </c>
      <c r="M908" t="s">
        <v>4280</v>
      </c>
      <c r="N908">
        <v>62.12</v>
      </c>
      <c r="O908" t="str">
        <f>IF((Sheet1[[#This Row],[Quantity]]*Sheet1[[#This Row],[UnitPrice]])=(Sheet1[[#This Row],[TotalPrice]]), "True", "False")</f>
        <v>True</v>
      </c>
      <c r="P908" t="str">
        <f>IF((Sheet1[[#This Row],[ItemsInCart]]&gt;=Sheet1[[#This Row],[Quantity]]), "Good", "Bad")</f>
        <v>Good</v>
      </c>
      <c r="Q908" t="str">
        <f t="shared" si="70"/>
        <v>OK</v>
      </c>
      <c r="R908" t="str">
        <f t="shared" si="71"/>
        <v>GOOD</v>
      </c>
      <c r="S908">
        <f t="shared" si="72"/>
        <v>0</v>
      </c>
      <c r="T908">
        <f t="shared" si="73"/>
        <v>0</v>
      </c>
      <c r="U908" t="str">
        <f t="shared" si="74"/>
        <v>OK</v>
      </c>
    </row>
    <row r="909" spans="1:21">
      <c r="A909" t="s">
        <v>921</v>
      </c>
      <c r="B909" t="s">
        <v>4831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 t="str">
        <f>IF((Sheet1[[#This Row],[Quantity]]*Sheet1[[#This Row],[UnitPrice]])=(Sheet1[[#This Row],[TotalPrice]]), "True", "False")</f>
        <v>True</v>
      </c>
      <c r="P909" t="str">
        <f>IF((Sheet1[[#This Row],[ItemsInCart]]&gt;=Sheet1[[#This Row],[Quantity]]), "Good", "Bad")</f>
        <v>Good</v>
      </c>
      <c r="Q909" t="str">
        <f t="shared" si="70"/>
        <v>OK</v>
      </c>
      <c r="R909" t="str">
        <f t="shared" si="71"/>
        <v>BAD</v>
      </c>
      <c r="S909">
        <f t="shared" si="72"/>
        <v>0</v>
      </c>
      <c r="T909">
        <f t="shared" si="73"/>
        <v>1</v>
      </c>
      <c r="U909" t="str">
        <f t="shared" si="74"/>
        <v>REVIEW_RETURN</v>
      </c>
    </row>
    <row r="910" spans="1:21">
      <c r="A910" t="s">
        <v>922</v>
      </c>
      <c r="B910" t="s">
        <v>4421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 t="str">
        <f>IF((Sheet1[[#This Row],[Quantity]]*Sheet1[[#This Row],[UnitPrice]])=(Sheet1[[#This Row],[TotalPrice]]), "True", "False")</f>
        <v>True</v>
      </c>
      <c r="P910" t="str">
        <f>IF((Sheet1[[#This Row],[ItemsInCart]]&gt;=Sheet1[[#This Row],[Quantity]]), "Good", "Bad")</f>
        <v>Good</v>
      </c>
      <c r="Q910" t="str">
        <f t="shared" si="70"/>
        <v>OK</v>
      </c>
      <c r="R910" t="str">
        <f t="shared" si="71"/>
        <v>BAD</v>
      </c>
      <c r="S910">
        <f t="shared" si="72"/>
        <v>0</v>
      </c>
      <c r="T910">
        <f t="shared" si="73"/>
        <v>1</v>
      </c>
      <c r="U910" t="str">
        <f t="shared" si="74"/>
        <v>REVIEW_RETURN</v>
      </c>
    </row>
    <row r="911" spans="1:21">
      <c r="A911" t="s">
        <v>923</v>
      </c>
      <c r="B911" t="s">
        <v>4865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 t="str">
        <f>IF((Sheet1[[#This Row],[Quantity]]*Sheet1[[#This Row],[UnitPrice]])=(Sheet1[[#This Row],[TotalPrice]]), "True", "False")</f>
        <v>True</v>
      </c>
      <c r="P911" t="str">
        <f>IF((Sheet1[[#This Row],[ItemsInCart]]&gt;=Sheet1[[#This Row],[Quantity]]), "Good", "Bad")</f>
        <v>Good</v>
      </c>
      <c r="Q911" t="str">
        <f t="shared" si="70"/>
        <v>OK</v>
      </c>
      <c r="R911" t="str">
        <f t="shared" si="71"/>
        <v>GOOD</v>
      </c>
      <c r="S911">
        <f t="shared" si="72"/>
        <v>0</v>
      </c>
      <c r="T911">
        <f t="shared" si="73"/>
        <v>0</v>
      </c>
      <c r="U911" t="str">
        <f t="shared" si="74"/>
        <v>OK</v>
      </c>
    </row>
    <row r="912" spans="1:21">
      <c r="A912" t="s">
        <v>924</v>
      </c>
      <c r="B912" t="s">
        <v>4866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 t="str">
        <f>IF((Sheet1[[#This Row],[Quantity]]*Sheet1[[#This Row],[UnitPrice]])=(Sheet1[[#This Row],[TotalPrice]]), "True", "False")</f>
        <v>True</v>
      </c>
      <c r="P912" t="str">
        <f>IF((Sheet1[[#This Row],[ItemsInCart]]&gt;=Sheet1[[#This Row],[Quantity]]), "Good", "Bad")</f>
        <v>Good</v>
      </c>
      <c r="Q912" t="str">
        <f t="shared" si="70"/>
        <v>OK</v>
      </c>
      <c r="R912" t="str">
        <f t="shared" si="71"/>
        <v>GOOD</v>
      </c>
      <c r="S912">
        <f t="shared" si="72"/>
        <v>0</v>
      </c>
      <c r="T912">
        <f t="shared" si="73"/>
        <v>0</v>
      </c>
      <c r="U912" t="str">
        <f t="shared" si="74"/>
        <v>OK</v>
      </c>
    </row>
    <row r="913" spans="1:21">
      <c r="A913" t="s">
        <v>925</v>
      </c>
      <c r="B913" t="s">
        <v>4867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 t="str">
        <f>IF((Sheet1[[#This Row],[Quantity]]*Sheet1[[#This Row],[UnitPrice]])=(Sheet1[[#This Row],[TotalPrice]]), "True", "False")</f>
        <v>True</v>
      </c>
      <c r="P913" t="str">
        <f>IF((Sheet1[[#This Row],[ItemsInCart]]&gt;=Sheet1[[#This Row],[Quantity]]), "Good", "Bad")</f>
        <v>Good</v>
      </c>
      <c r="Q913" t="str">
        <f t="shared" si="70"/>
        <v>OK</v>
      </c>
      <c r="R913" t="str">
        <f t="shared" si="71"/>
        <v>BAD</v>
      </c>
      <c r="S913">
        <f t="shared" si="72"/>
        <v>0</v>
      </c>
      <c r="T913">
        <f t="shared" si="73"/>
        <v>1</v>
      </c>
      <c r="U913" t="str">
        <f t="shared" si="74"/>
        <v>REVIEW_RETURN</v>
      </c>
    </row>
    <row r="914" spans="1:21">
      <c r="A914" t="s">
        <v>926</v>
      </c>
      <c r="B914" t="s">
        <v>4868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 t="str">
        <f>IF((Sheet1[[#This Row],[Quantity]]*Sheet1[[#This Row],[UnitPrice]])=(Sheet1[[#This Row],[TotalPrice]]), "True", "False")</f>
        <v>True</v>
      </c>
      <c r="P914" t="str">
        <f>IF((Sheet1[[#This Row],[ItemsInCart]]&gt;=Sheet1[[#This Row],[Quantity]]), "Good", "Bad")</f>
        <v>Good</v>
      </c>
      <c r="Q914" t="str">
        <f t="shared" si="70"/>
        <v>OK</v>
      </c>
      <c r="R914" t="str">
        <f t="shared" si="71"/>
        <v>GOOD</v>
      </c>
      <c r="S914">
        <f t="shared" si="72"/>
        <v>0</v>
      </c>
      <c r="T914">
        <f t="shared" si="73"/>
        <v>0</v>
      </c>
      <c r="U914" t="str">
        <f t="shared" si="74"/>
        <v>OK</v>
      </c>
    </row>
    <row r="915" spans="1:21">
      <c r="A915" t="s">
        <v>927</v>
      </c>
      <c r="B915" t="s">
        <v>4506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 t="str">
        <f>IF((Sheet1[[#This Row],[Quantity]]*Sheet1[[#This Row],[UnitPrice]])=(Sheet1[[#This Row],[TotalPrice]]), "True", "False")</f>
        <v>True</v>
      </c>
      <c r="P915" t="str">
        <f>IF((Sheet1[[#This Row],[ItemsInCart]]&gt;=Sheet1[[#This Row],[Quantity]]), "Good", "Bad")</f>
        <v>Good</v>
      </c>
      <c r="Q915" t="str">
        <f t="shared" si="70"/>
        <v>OK</v>
      </c>
      <c r="R915" t="str">
        <f t="shared" si="71"/>
        <v>GOOD</v>
      </c>
      <c r="S915">
        <f t="shared" si="72"/>
        <v>0</v>
      </c>
      <c r="T915">
        <f t="shared" si="73"/>
        <v>0</v>
      </c>
      <c r="U915" t="str">
        <f t="shared" si="74"/>
        <v>OK</v>
      </c>
    </row>
    <row r="916" spans="1:21">
      <c r="A916" t="s">
        <v>928</v>
      </c>
      <c r="B916" t="s">
        <v>4724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 t="str">
        <f>IF((Sheet1[[#This Row],[Quantity]]*Sheet1[[#This Row],[UnitPrice]])=(Sheet1[[#This Row],[TotalPrice]]), "True", "False")</f>
        <v>True</v>
      </c>
      <c r="P916" t="str">
        <f>IF((Sheet1[[#This Row],[ItemsInCart]]&gt;=Sheet1[[#This Row],[Quantity]]), "Good", "Bad")</f>
        <v>Good</v>
      </c>
      <c r="Q916" t="str">
        <f t="shared" si="70"/>
        <v>OK</v>
      </c>
      <c r="R916" t="str">
        <f t="shared" si="71"/>
        <v>GOOD</v>
      </c>
      <c r="S916">
        <f t="shared" si="72"/>
        <v>0</v>
      </c>
      <c r="T916">
        <f t="shared" si="73"/>
        <v>0</v>
      </c>
      <c r="U916" t="str">
        <f t="shared" si="74"/>
        <v>OK</v>
      </c>
    </row>
    <row r="917" spans="1:21">
      <c r="A917" t="s">
        <v>929</v>
      </c>
      <c r="B917" t="s">
        <v>4869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 t="str">
        <f>IF((Sheet1[[#This Row],[Quantity]]*Sheet1[[#This Row],[UnitPrice]])=(Sheet1[[#This Row],[TotalPrice]]), "True", "False")</f>
        <v>True</v>
      </c>
      <c r="P917" t="str">
        <f>IF((Sheet1[[#This Row],[ItemsInCart]]&gt;=Sheet1[[#This Row],[Quantity]]), "Good", "Bad")</f>
        <v>Good</v>
      </c>
      <c r="Q917" t="str">
        <f t="shared" si="70"/>
        <v>OK</v>
      </c>
      <c r="R917" t="str">
        <f t="shared" si="71"/>
        <v>GOOD</v>
      </c>
      <c r="S917">
        <f t="shared" si="72"/>
        <v>0</v>
      </c>
      <c r="T917">
        <f t="shared" si="73"/>
        <v>0</v>
      </c>
      <c r="U917" t="str">
        <f t="shared" si="74"/>
        <v>OK</v>
      </c>
    </row>
    <row r="918" spans="1:21">
      <c r="A918" t="s">
        <v>930</v>
      </c>
      <c r="B918" t="s">
        <v>4870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4961</v>
      </c>
      <c r="M918" t="s">
        <v>4279</v>
      </c>
      <c r="N918">
        <v>2894.15</v>
      </c>
      <c r="O918" t="str">
        <f>IF((Sheet1[[#This Row],[Quantity]]*Sheet1[[#This Row],[UnitPrice]])=(Sheet1[[#This Row],[TotalPrice]]), "True", "False")</f>
        <v>True</v>
      </c>
      <c r="P918" t="str">
        <f>IF((Sheet1[[#This Row],[ItemsInCart]]&gt;=Sheet1[[#This Row],[Quantity]]), "Good", "Bad")</f>
        <v>Good</v>
      </c>
      <c r="Q918" t="str">
        <f t="shared" si="70"/>
        <v>OK</v>
      </c>
      <c r="R918" t="str">
        <f t="shared" si="71"/>
        <v>GOOD</v>
      </c>
      <c r="S918">
        <f t="shared" si="72"/>
        <v>0</v>
      </c>
      <c r="T918">
        <f t="shared" si="73"/>
        <v>0</v>
      </c>
      <c r="U918" t="str">
        <f t="shared" si="74"/>
        <v>OK</v>
      </c>
    </row>
    <row r="919" spans="1:21">
      <c r="A919" t="s">
        <v>931</v>
      </c>
      <c r="B919" t="s">
        <v>4871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 t="str">
        <f>IF((Sheet1[[#This Row],[Quantity]]*Sheet1[[#This Row],[UnitPrice]])=(Sheet1[[#This Row],[TotalPrice]]), "True", "False")</f>
        <v>True</v>
      </c>
      <c r="P919" t="str">
        <f>IF((Sheet1[[#This Row],[ItemsInCart]]&gt;=Sheet1[[#This Row],[Quantity]]), "Good", "Bad")</f>
        <v>Good</v>
      </c>
      <c r="Q919" t="str">
        <f t="shared" si="70"/>
        <v>OK</v>
      </c>
      <c r="R919" t="str">
        <f t="shared" si="71"/>
        <v>GOOD</v>
      </c>
      <c r="S919">
        <f t="shared" si="72"/>
        <v>0</v>
      </c>
      <c r="T919">
        <f t="shared" si="73"/>
        <v>0</v>
      </c>
      <c r="U919" t="str">
        <f t="shared" si="74"/>
        <v>OK</v>
      </c>
    </row>
    <row r="920" spans="1:21">
      <c r="A920" t="s">
        <v>932</v>
      </c>
      <c r="B920" t="s">
        <v>4336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4961</v>
      </c>
      <c r="M920" t="s">
        <v>4278</v>
      </c>
      <c r="N920">
        <v>1841.25</v>
      </c>
      <c r="O920" t="str">
        <f>IF((Sheet1[[#This Row],[Quantity]]*Sheet1[[#This Row],[UnitPrice]])=(Sheet1[[#This Row],[TotalPrice]]), "True", "False")</f>
        <v>True</v>
      </c>
      <c r="P920" t="str">
        <f>IF((Sheet1[[#This Row],[ItemsInCart]]&gt;=Sheet1[[#This Row],[Quantity]]), "Good", "Bad")</f>
        <v>Good</v>
      </c>
      <c r="Q920" t="str">
        <f t="shared" si="70"/>
        <v>OK</v>
      </c>
      <c r="R920" t="str">
        <f t="shared" si="71"/>
        <v>GOOD</v>
      </c>
      <c r="S920">
        <f t="shared" si="72"/>
        <v>0</v>
      </c>
      <c r="T920">
        <f t="shared" si="73"/>
        <v>0</v>
      </c>
      <c r="U920" t="str">
        <f t="shared" si="74"/>
        <v>OK</v>
      </c>
    </row>
    <row r="921" spans="1:21">
      <c r="A921" t="s">
        <v>933</v>
      </c>
      <c r="B921" t="s">
        <v>4775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 t="str">
        <f>IF((Sheet1[[#This Row],[Quantity]]*Sheet1[[#This Row],[UnitPrice]])=(Sheet1[[#This Row],[TotalPrice]]), "True", "False")</f>
        <v>True</v>
      </c>
      <c r="P921" t="str">
        <f>IF((Sheet1[[#This Row],[ItemsInCart]]&gt;=Sheet1[[#This Row],[Quantity]]), "Good", "Bad")</f>
        <v>Good</v>
      </c>
      <c r="Q921" t="str">
        <f t="shared" si="70"/>
        <v>OK</v>
      </c>
      <c r="R921" t="str">
        <f t="shared" si="71"/>
        <v>GOOD</v>
      </c>
      <c r="S921">
        <f t="shared" si="72"/>
        <v>0</v>
      </c>
      <c r="T921">
        <f t="shared" si="73"/>
        <v>0</v>
      </c>
      <c r="U921" t="str">
        <f t="shared" si="74"/>
        <v>OK</v>
      </c>
    </row>
    <row r="922" spans="1:21">
      <c r="A922" t="s">
        <v>934</v>
      </c>
      <c r="B922" t="s">
        <v>4778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4961</v>
      </c>
      <c r="M922" t="s">
        <v>4278</v>
      </c>
      <c r="N922">
        <v>856.18</v>
      </c>
      <c r="O922" t="str">
        <f>IF((Sheet1[[#This Row],[Quantity]]*Sheet1[[#This Row],[UnitPrice]])=(Sheet1[[#This Row],[TotalPrice]]), "True", "False")</f>
        <v>True</v>
      </c>
      <c r="P922" t="str">
        <f>IF((Sheet1[[#This Row],[ItemsInCart]]&gt;=Sheet1[[#This Row],[Quantity]]), "Good", "Bad")</f>
        <v>Good</v>
      </c>
      <c r="Q922" t="str">
        <f t="shared" si="70"/>
        <v>OK</v>
      </c>
      <c r="R922" t="str">
        <f t="shared" si="71"/>
        <v>GOOD</v>
      </c>
      <c r="S922">
        <f t="shared" si="72"/>
        <v>0</v>
      </c>
      <c r="T922">
        <f t="shared" si="73"/>
        <v>0</v>
      </c>
      <c r="U922" t="str">
        <f t="shared" si="74"/>
        <v>OK</v>
      </c>
    </row>
    <row r="923" spans="1:21">
      <c r="A923" t="s">
        <v>935</v>
      </c>
      <c r="B923" t="s">
        <v>4811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 t="str">
        <f>IF((Sheet1[[#This Row],[Quantity]]*Sheet1[[#This Row],[UnitPrice]])=(Sheet1[[#This Row],[TotalPrice]]), "True", "False")</f>
        <v>True</v>
      </c>
      <c r="P923" t="str">
        <f>IF((Sheet1[[#This Row],[ItemsInCart]]&gt;=Sheet1[[#This Row],[Quantity]]), "Good", "Bad")</f>
        <v>Good</v>
      </c>
      <c r="Q923" t="str">
        <f t="shared" si="70"/>
        <v>OK</v>
      </c>
      <c r="R923" t="str">
        <f t="shared" si="71"/>
        <v>BAD</v>
      </c>
      <c r="S923">
        <f t="shared" si="72"/>
        <v>0</v>
      </c>
      <c r="T923">
        <f t="shared" si="73"/>
        <v>1</v>
      </c>
      <c r="U923" t="str">
        <f t="shared" si="74"/>
        <v>REVIEW_RETURN</v>
      </c>
    </row>
    <row r="924" spans="1:21">
      <c r="A924" t="s">
        <v>936</v>
      </c>
      <c r="B924" t="s">
        <v>4872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4961</v>
      </c>
      <c r="M924" t="s">
        <v>4278</v>
      </c>
      <c r="N924">
        <v>1127.6400000000001</v>
      </c>
      <c r="O924" t="str">
        <f>IF((Sheet1[[#This Row],[Quantity]]*Sheet1[[#This Row],[UnitPrice]])=(Sheet1[[#This Row],[TotalPrice]]), "True", "False")</f>
        <v>True</v>
      </c>
      <c r="P924" t="str">
        <f>IF((Sheet1[[#This Row],[ItemsInCart]]&gt;=Sheet1[[#This Row],[Quantity]]), "Good", "Bad")</f>
        <v>Good</v>
      </c>
      <c r="Q924" t="str">
        <f t="shared" si="70"/>
        <v>OK</v>
      </c>
      <c r="R924" t="str">
        <f t="shared" si="71"/>
        <v>BAD</v>
      </c>
      <c r="S924">
        <f t="shared" si="72"/>
        <v>0</v>
      </c>
      <c r="T924">
        <f t="shared" si="73"/>
        <v>1</v>
      </c>
      <c r="U924" t="str">
        <f t="shared" si="74"/>
        <v>DOCUMENTED</v>
      </c>
    </row>
    <row r="925" spans="1:21">
      <c r="A925" t="s">
        <v>937</v>
      </c>
      <c r="B925" t="s">
        <v>4374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 t="str">
        <f>IF((Sheet1[[#This Row],[Quantity]]*Sheet1[[#This Row],[UnitPrice]])=(Sheet1[[#This Row],[TotalPrice]]), "True", "False")</f>
        <v>True</v>
      </c>
      <c r="P925" t="str">
        <f>IF((Sheet1[[#This Row],[ItemsInCart]]&gt;=Sheet1[[#This Row],[Quantity]]), "Good", "Bad")</f>
        <v>Good</v>
      </c>
      <c r="Q925" t="str">
        <f t="shared" si="70"/>
        <v>OK</v>
      </c>
      <c r="R925" t="str">
        <f t="shared" si="71"/>
        <v>BAD</v>
      </c>
      <c r="S925">
        <f t="shared" si="72"/>
        <v>0</v>
      </c>
      <c r="T925">
        <f t="shared" si="73"/>
        <v>1</v>
      </c>
      <c r="U925" t="str">
        <f t="shared" si="74"/>
        <v>DOCUMENTED</v>
      </c>
    </row>
    <row r="926" spans="1:21">
      <c r="A926" t="s">
        <v>938</v>
      </c>
      <c r="B926" t="s">
        <v>4312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 t="str">
        <f>IF((Sheet1[[#This Row],[Quantity]]*Sheet1[[#This Row],[UnitPrice]])=(Sheet1[[#This Row],[TotalPrice]]), "True", "False")</f>
        <v>True</v>
      </c>
      <c r="P926" t="str">
        <f>IF((Sheet1[[#This Row],[ItemsInCart]]&gt;=Sheet1[[#This Row],[Quantity]]), "Good", "Bad")</f>
        <v>Good</v>
      </c>
      <c r="Q926" t="str">
        <f t="shared" si="70"/>
        <v>OK</v>
      </c>
      <c r="R926" t="str">
        <f t="shared" si="71"/>
        <v>GOOD</v>
      </c>
      <c r="S926">
        <f t="shared" si="72"/>
        <v>0</v>
      </c>
      <c r="T926">
        <f t="shared" si="73"/>
        <v>0</v>
      </c>
      <c r="U926" t="str">
        <f t="shared" si="74"/>
        <v>OK</v>
      </c>
    </row>
    <row r="927" spans="1:21">
      <c r="A927" t="s">
        <v>939</v>
      </c>
      <c r="B927" t="s">
        <v>4873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 t="str">
        <f>IF((Sheet1[[#This Row],[Quantity]]*Sheet1[[#This Row],[UnitPrice]])=(Sheet1[[#This Row],[TotalPrice]]), "True", "False")</f>
        <v>True</v>
      </c>
      <c r="P927" t="str">
        <f>IF((Sheet1[[#This Row],[ItemsInCart]]&gt;=Sheet1[[#This Row],[Quantity]]), "Good", "Bad")</f>
        <v>Good</v>
      </c>
      <c r="Q927" t="str">
        <f t="shared" si="70"/>
        <v>OK</v>
      </c>
      <c r="R927" t="str">
        <f t="shared" si="71"/>
        <v>GOOD</v>
      </c>
      <c r="S927">
        <f t="shared" si="72"/>
        <v>0</v>
      </c>
      <c r="T927">
        <f t="shared" si="73"/>
        <v>0</v>
      </c>
      <c r="U927" t="str">
        <f t="shared" si="74"/>
        <v>OK</v>
      </c>
    </row>
    <row r="928" spans="1:21">
      <c r="A928" t="s">
        <v>940</v>
      </c>
      <c r="B928" t="s">
        <v>4874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 t="str">
        <f>IF((Sheet1[[#This Row],[Quantity]]*Sheet1[[#This Row],[UnitPrice]])=(Sheet1[[#This Row],[TotalPrice]]), "True", "False")</f>
        <v>True</v>
      </c>
      <c r="P928" t="str">
        <f>IF((Sheet1[[#This Row],[ItemsInCart]]&gt;=Sheet1[[#This Row],[Quantity]]), "Good", "Bad")</f>
        <v>Good</v>
      </c>
      <c r="Q928" t="str">
        <f t="shared" si="70"/>
        <v>OK</v>
      </c>
      <c r="R928" t="str">
        <f t="shared" si="71"/>
        <v>GOOD</v>
      </c>
      <c r="S928">
        <f t="shared" si="72"/>
        <v>0</v>
      </c>
      <c r="T928">
        <f t="shared" si="73"/>
        <v>0</v>
      </c>
      <c r="U928" t="str">
        <f t="shared" si="74"/>
        <v>OK</v>
      </c>
    </row>
    <row r="929" spans="1:21">
      <c r="A929" t="s">
        <v>941</v>
      </c>
      <c r="B929" t="s">
        <v>4875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 t="str">
        <f>IF((Sheet1[[#This Row],[Quantity]]*Sheet1[[#This Row],[UnitPrice]])=(Sheet1[[#This Row],[TotalPrice]]), "True", "False")</f>
        <v>True</v>
      </c>
      <c r="P929" t="str">
        <f>IF((Sheet1[[#This Row],[ItemsInCart]]&gt;=Sheet1[[#This Row],[Quantity]]), "Good", "Bad")</f>
        <v>Good</v>
      </c>
      <c r="Q929" t="str">
        <f t="shared" si="70"/>
        <v>OK</v>
      </c>
      <c r="R929" t="str">
        <f t="shared" si="71"/>
        <v>GOOD</v>
      </c>
      <c r="S929">
        <f t="shared" si="72"/>
        <v>0</v>
      </c>
      <c r="T929">
        <f t="shared" si="73"/>
        <v>0</v>
      </c>
      <c r="U929" t="str">
        <f t="shared" si="74"/>
        <v>OK</v>
      </c>
    </row>
    <row r="930" spans="1:21">
      <c r="A930" t="s">
        <v>942</v>
      </c>
      <c r="B930" t="s">
        <v>4876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 t="str">
        <f>IF((Sheet1[[#This Row],[Quantity]]*Sheet1[[#This Row],[UnitPrice]])=(Sheet1[[#This Row],[TotalPrice]]), "True", "False")</f>
        <v>True</v>
      </c>
      <c r="P930" t="str">
        <f>IF((Sheet1[[#This Row],[ItemsInCart]]&gt;=Sheet1[[#This Row],[Quantity]]), "Good", "Bad")</f>
        <v>Good</v>
      </c>
      <c r="Q930" t="str">
        <f t="shared" si="70"/>
        <v>OK</v>
      </c>
      <c r="R930" t="str">
        <f t="shared" si="71"/>
        <v>GOOD</v>
      </c>
      <c r="S930">
        <f t="shared" si="72"/>
        <v>0</v>
      </c>
      <c r="T930">
        <f t="shared" si="73"/>
        <v>0</v>
      </c>
      <c r="U930" t="str">
        <f t="shared" si="74"/>
        <v>OK</v>
      </c>
    </row>
    <row r="931" spans="1:21">
      <c r="A931" t="s">
        <v>943</v>
      </c>
      <c r="B931" t="s">
        <v>4877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4961</v>
      </c>
      <c r="M931" t="s">
        <v>4280</v>
      </c>
      <c r="N931">
        <v>1072.5</v>
      </c>
      <c r="O931" t="str">
        <f>IF((Sheet1[[#This Row],[Quantity]]*Sheet1[[#This Row],[UnitPrice]])=(Sheet1[[#This Row],[TotalPrice]]), "True", "False")</f>
        <v>True</v>
      </c>
      <c r="P931" t="str">
        <f>IF((Sheet1[[#This Row],[ItemsInCart]]&gt;=Sheet1[[#This Row],[Quantity]]), "Good", "Bad")</f>
        <v>Good</v>
      </c>
      <c r="Q931" t="str">
        <f t="shared" si="70"/>
        <v>OK</v>
      </c>
      <c r="R931" t="str">
        <f t="shared" si="71"/>
        <v>BAD</v>
      </c>
      <c r="S931">
        <f t="shared" si="72"/>
        <v>0</v>
      </c>
      <c r="T931">
        <f t="shared" si="73"/>
        <v>1</v>
      </c>
      <c r="U931" t="str">
        <f t="shared" si="74"/>
        <v>DOCUMENTED</v>
      </c>
    </row>
    <row r="932" spans="1:21">
      <c r="A932" t="s">
        <v>944</v>
      </c>
      <c r="B932" t="s">
        <v>4676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 t="str">
        <f>IF((Sheet1[[#This Row],[Quantity]]*Sheet1[[#This Row],[UnitPrice]])=(Sheet1[[#This Row],[TotalPrice]]), "True", "False")</f>
        <v>True</v>
      </c>
      <c r="P932" t="str">
        <f>IF((Sheet1[[#This Row],[ItemsInCart]]&gt;=Sheet1[[#This Row],[Quantity]]), "Good", "Bad")</f>
        <v>Good</v>
      </c>
      <c r="Q932" t="str">
        <f t="shared" si="70"/>
        <v>OK</v>
      </c>
      <c r="R932" t="str">
        <f t="shared" si="71"/>
        <v>GOOD</v>
      </c>
      <c r="S932">
        <f t="shared" si="72"/>
        <v>0</v>
      </c>
      <c r="T932">
        <f t="shared" si="73"/>
        <v>0</v>
      </c>
      <c r="U932" t="str">
        <f t="shared" si="74"/>
        <v>OK</v>
      </c>
    </row>
    <row r="933" spans="1:21">
      <c r="A933" t="s">
        <v>945</v>
      </c>
      <c r="B933" t="s">
        <v>4826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 t="str">
        <f>IF((Sheet1[[#This Row],[Quantity]]*Sheet1[[#This Row],[UnitPrice]])=(Sheet1[[#This Row],[TotalPrice]]), "True", "False")</f>
        <v>True</v>
      </c>
      <c r="P933" t="str">
        <f>IF((Sheet1[[#This Row],[ItemsInCart]]&gt;=Sheet1[[#This Row],[Quantity]]), "Good", "Bad")</f>
        <v>Good</v>
      </c>
      <c r="Q933" t="str">
        <f t="shared" si="70"/>
        <v>OK</v>
      </c>
      <c r="R933" t="str">
        <f t="shared" si="71"/>
        <v>BAD</v>
      </c>
      <c r="S933">
        <f t="shared" si="72"/>
        <v>0</v>
      </c>
      <c r="T933">
        <f t="shared" si="73"/>
        <v>1</v>
      </c>
      <c r="U933" t="str">
        <f t="shared" si="74"/>
        <v>REVIEW_RETURN</v>
      </c>
    </row>
    <row r="934" spans="1:21">
      <c r="A934" t="s">
        <v>946</v>
      </c>
      <c r="B934" t="s">
        <v>4748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 t="str">
        <f>IF((Sheet1[[#This Row],[Quantity]]*Sheet1[[#This Row],[UnitPrice]])=(Sheet1[[#This Row],[TotalPrice]]), "True", "False")</f>
        <v>True</v>
      </c>
      <c r="P934" t="str">
        <f>IF((Sheet1[[#This Row],[ItemsInCart]]&gt;=Sheet1[[#This Row],[Quantity]]), "Good", "Bad")</f>
        <v>Good</v>
      </c>
      <c r="Q934" t="str">
        <f t="shared" si="70"/>
        <v>OK</v>
      </c>
      <c r="R934" t="str">
        <f t="shared" si="71"/>
        <v>GOOD</v>
      </c>
      <c r="S934">
        <f t="shared" si="72"/>
        <v>0</v>
      </c>
      <c r="T934">
        <f t="shared" si="73"/>
        <v>0</v>
      </c>
      <c r="U934" t="str">
        <f t="shared" si="74"/>
        <v>OK</v>
      </c>
    </row>
    <row r="935" spans="1:21">
      <c r="A935" t="s">
        <v>947</v>
      </c>
      <c r="B935" t="s">
        <v>4878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4961</v>
      </c>
      <c r="M935" t="s">
        <v>4279</v>
      </c>
      <c r="N935">
        <v>788.32</v>
      </c>
      <c r="O935" t="str">
        <f>IF((Sheet1[[#This Row],[Quantity]]*Sheet1[[#This Row],[UnitPrice]])=(Sheet1[[#This Row],[TotalPrice]]), "True", "False")</f>
        <v>True</v>
      </c>
      <c r="P935" t="str">
        <f>IF((Sheet1[[#This Row],[ItemsInCart]]&gt;=Sheet1[[#This Row],[Quantity]]), "Good", "Bad")</f>
        <v>Good</v>
      </c>
      <c r="Q935" t="str">
        <f t="shared" si="70"/>
        <v>OK</v>
      </c>
      <c r="R935" t="str">
        <f t="shared" si="71"/>
        <v>GOOD</v>
      </c>
      <c r="S935">
        <f t="shared" si="72"/>
        <v>0</v>
      </c>
      <c r="T935">
        <f t="shared" si="73"/>
        <v>0</v>
      </c>
      <c r="U935" t="str">
        <f t="shared" si="74"/>
        <v>OK</v>
      </c>
    </row>
    <row r="936" spans="1:21">
      <c r="A936" t="s">
        <v>948</v>
      </c>
      <c r="B936" t="s">
        <v>4848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 t="str">
        <f>IF((Sheet1[[#This Row],[Quantity]]*Sheet1[[#This Row],[UnitPrice]])=(Sheet1[[#This Row],[TotalPrice]]), "True", "False")</f>
        <v>True</v>
      </c>
      <c r="P936" t="str">
        <f>IF((Sheet1[[#This Row],[ItemsInCart]]&gt;=Sheet1[[#This Row],[Quantity]]), "Good", "Bad")</f>
        <v>Good</v>
      </c>
      <c r="Q936" t="str">
        <f t="shared" si="70"/>
        <v>OK</v>
      </c>
      <c r="R936" t="str">
        <f t="shared" si="71"/>
        <v>GOOD</v>
      </c>
      <c r="S936">
        <f t="shared" si="72"/>
        <v>0</v>
      </c>
      <c r="T936">
        <f t="shared" si="73"/>
        <v>0</v>
      </c>
      <c r="U936" t="str">
        <f t="shared" si="74"/>
        <v>OK</v>
      </c>
    </row>
    <row r="937" spans="1:21">
      <c r="A937" t="s">
        <v>949</v>
      </c>
      <c r="B937" t="s">
        <v>4537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 t="str">
        <f>IF((Sheet1[[#This Row],[Quantity]]*Sheet1[[#This Row],[UnitPrice]])=(Sheet1[[#This Row],[TotalPrice]]), "True", "False")</f>
        <v>True</v>
      </c>
      <c r="P937" t="str">
        <f>IF((Sheet1[[#This Row],[ItemsInCart]]&gt;=Sheet1[[#This Row],[Quantity]]), "Good", "Bad")</f>
        <v>Good</v>
      </c>
      <c r="Q937" t="str">
        <f t="shared" si="70"/>
        <v>OK</v>
      </c>
      <c r="R937" t="str">
        <f t="shared" si="71"/>
        <v>GOOD</v>
      </c>
      <c r="S937">
        <f t="shared" si="72"/>
        <v>0</v>
      </c>
      <c r="T937">
        <f t="shared" si="73"/>
        <v>0</v>
      </c>
      <c r="U937" t="str">
        <f t="shared" si="74"/>
        <v>OK</v>
      </c>
    </row>
    <row r="938" spans="1:21">
      <c r="A938" t="s">
        <v>950</v>
      </c>
      <c r="B938" t="s">
        <v>4879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 t="str">
        <f>IF((Sheet1[[#This Row],[Quantity]]*Sheet1[[#This Row],[UnitPrice]])=(Sheet1[[#This Row],[TotalPrice]]), "True", "False")</f>
        <v>True</v>
      </c>
      <c r="P938" t="str">
        <f>IF((Sheet1[[#This Row],[ItemsInCart]]&gt;=Sheet1[[#This Row],[Quantity]]), "Good", "Bad")</f>
        <v>Good</v>
      </c>
      <c r="Q938" t="str">
        <f t="shared" si="70"/>
        <v>OK</v>
      </c>
      <c r="R938" t="str">
        <f t="shared" si="71"/>
        <v>GOOD</v>
      </c>
      <c r="S938">
        <f t="shared" si="72"/>
        <v>0</v>
      </c>
      <c r="T938">
        <f t="shared" si="73"/>
        <v>0</v>
      </c>
      <c r="U938" t="str">
        <f t="shared" si="74"/>
        <v>OK</v>
      </c>
    </row>
    <row r="939" spans="1:21">
      <c r="A939" t="s">
        <v>951</v>
      </c>
      <c r="B939" t="s">
        <v>4745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 t="str">
        <f>IF((Sheet1[[#This Row],[Quantity]]*Sheet1[[#This Row],[UnitPrice]])=(Sheet1[[#This Row],[TotalPrice]]), "True", "False")</f>
        <v>True</v>
      </c>
      <c r="P939" t="str">
        <f>IF((Sheet1[[#This Row],[ItemsInCart]]&gt;=Sheet1[[#This Row],[Quantity]]), "Good", "Bad")</f>
        <v>Good</v>
      </c>
      <c r="Q939" t="str">
        <f t="shared" si="70"/>
        <v>OK</v>
      </c>
      <c r="R939" t="str">
        <f t="shared" si="71"/>
        <v>BAD</v>
      </c>
      <c r="S939">
        <f t="shared" si="72"/>
        <v>0</v>
      </c>
      <c r="T939">
        <f t="shared" si="73"/>
        <v>1</v>
      </c>
      <c r="U939" t="str">
        <f t="shared" si="74"/>
        <v>REVIEW_RETURN</v>
      </c>
    </row>
    <row r="940" spans="1:21">
      <c r="A940" t="s">
        <v>952</v>
      </c>
      <c r="B940" t="s">
        <v>4502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 t="str">
        <f>IF((Sheet1[[#This Row],[Quantity]]*Sheet1[[#This Row],[UnitPrice]])=(Sheet1[[#This Row],[TotalPrice]]), "True", "False")</f>
        <v>True</v>
      </c>
      <c r="P940" t="str">
        <f>IF((Sheet1[[#This Row],[ItemsInCart]]&gt;=Sheet1[[#This Row],[Quantity]]), "Good", "Bad")</f>
        <v>Good</v>
      </c>
      <c r="Q940" t="str">
        <f t="shared" si="70"/>
        <v>OK</v>
      </c>
      <c r="R940" t="str">
        <f t="shared" si="71"/>
        <v>BAD</v>
      </c>
      <c r="S940">
        <f t="shared" si="72"/>
        <v>0</v>
      </c>
      <c r="T940">
        <f t="shared" si="73"/>
        <v>1</v>
      </c>
      <c r="U940" t="str">
        <f t="shared" si="74"/>
        <v>REVIEW_RETURN</v>
      </c>
    </row>
    <row r="941" spans="1:21">
      <c r="A941" t="s">
        <v>953</v>
      </c>
      <c r="B941" t="s">
        <v>4880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 t="str">
        <f>IF((Sheet1[[#This Row],[Quantity]]*Sheet1[[#This Row],[UnitPrice]])=(Sheet1[[#This Row],[TotalPrice]]), "True", "False")</f>
        <v>True</v>
      </c>
      <c r="P941" t="str">
        <f>IF((Sheet1[[#This Row],[ItemsInCart]]&gt;=Sheet1[[#This Row],[Quantity]]), "Good", "Bad")</f>
        <v>Good</v>
      </c>
      <c r="Q941" t="str">
        <f t="shared" si="70"/>
        <v>OK</v>
      </c>
      <c r="R941" t="str">
        <f t="shared" si="71"/>
        <v>GOOD</v>
      </c>
      <c r="S941">
        <f t="shared" si="72"/>
        <v>0</v>
      </c>
      <c r="T941">
        <f t="shared" si="73"/>
        <v>0</v>
      </c>
      <c r="U941" t="str">
        <f t="shared" si="74"/>
        <v>OK</v>
      </c>
    </row>
    <row r="942" spans="1:21">
      <c r="A942" t="s">
        <v>954</v>
      </c>
      <c r="B942" t="s">
        <v>4297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 t="str">
        <f>IF((Sheet1[[#This Row],[Quantity]]*Sheet1[[#This Row],[UnitPrice]])=(Sheet1[[#This Row],[TotalPrice]]), "True", "False")</f>
        <v>True</v>
      </c>
      <c r="P942" t="str">
        <f>IF((Sheet1[[#This Row],[ItemsInCart]]&gt;=Sheet1[[#This Row],[Quantity]]), "Good", "Bad")</f>
        <v>Good</v>
      </c>
      <c r="Q942" t="str">
        <f t="shared" si="70"/>
        <v>OK</v>
      </c>
      <c r="R942" t="str">
        <f t="shared" si="71"/>
        <v>BAD</v>
      </c>
      <c r="S942">
        <f t="shared" si="72"/>
        <v>0</v>
      </c>
      <c r="T942">
        <f t="shared" si="73"/>
        <v>1</v>
      </c>
      <c r="U942" t="str">
        <f t="shared" si="74"/>
        <v>REVIEW_RETURN</v>
      </c>
    </row>
    <row r="943" spans="1:21">
      <c r="A943" t="s">
        <v>955</v>
      </c>
      <c r="B943" t="s">
        <v>4298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 t="str">
        <f>IF((Sheet1[[#This Row],[Quantity]]*Sheet1[[#This Row],[UnitPrice]])=(Sheet1[[#This Row],[TotalPrice]]), "True", "False")</f>
        <v>True</v>
      </c>
      <c r="P943" t="str">
        <f>IF((Sheet1[[#This Row],[ItemsInCart]]&gt;=Sheet1[[#This Row],[Quantity]]), "Good", "Bad")</f>
        <v>Good</v>
      </c>
      <c r="Q943" t="str">
        <f t="shared" si="70"/>
        <v>OK</v>
      </c>
      <c r="R943" t="str">
        <f t="shared" si="71"/>
        <v>BAD</v>
      </c>
      <c r="S943">
        <f t="shared" si="72"/>
        <v>0</v>
      </c>
      <c r="T943">
        <f t="shared" si="73"/>
        <v>1</v>
      </c>
      <c r="U943" t="str">
        <f t="shared" si="74"/>
        <v>REVIEW_RETURN</v>
      </c>
    </row>
    <row r="944" spans="1:21">
      <c r="A944" t="s">
        <v>956</v>
      </c>
      <c r="B944" t="s">
        <v>4655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4961</v>
      </c>
      <c r="M944" t="s">
        <v>4280</v>
      </c>
      <c r="N944">
        <v>479.76</v>
      </c>
      <c r="O944" t="str">
        <f>IF((Sheet1[[#This Row],[Quantity]]*Sheet1[[#This Row],[UnitPrice]])=(Sheet1[[#This Row],[TotalPrice]]), "True", "False")</f>
        <v>True</v>
      </c>
      <c r="P944" t="str">
        <f>IF((Sheet1[[#This Row],[ItemsInCart]]&gt;=Sheet1[[#This Row],[Quantity]]), "Good", "Bad")</f>
        <v>Good</v>
      </c>
      <c r="Q944" t="str">
        <f t="shared" si="70"/>
        <v>OK</v>
      </c>
      <c r="R944" t="str">
        <f t="shared" si="71"/>
        <v>BAD</v>
      </c>
      <c r="S944">
        <f t="shared" si="72"/>
        <v>0</v>
      </c>
      <c r="T944">
        <f t="shared" si="73"/>
        <v>1</v>
      </c>
      <c r="U944" t="str">
        <f t="shared" si="74"/>
        <v>DOCUMENTED</v>
      </c>
    </row>
    <row r="945" spans="1:21">
      <c r="A945" t="s">
        <v>957</v>
      </c>
      <c r="B945" t="s">
        <v>4423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 t="str">
        <f>IF((Sheet1[[#This Row],[Quantity]]*Sheet1[[#This Row],[UnitPrice]])=(Sheet1[[#This Row],[TotalPrice]]), "True", "False")</f>
        <v>True</v>
      </c>
      <c r="P945" t="str">
        <f>IF((Sheet1[[#This Row],[ItemsInCart]]&gt;=Sheet1[[#This Row],[Quantity]]), "Good", "Bad")</f>
        <v>Good</v>
      </c>
      <c r="Q945" t="str">
        <f t="shared" si="70"/>
        <v>OK</v>
      </c>
      <c r="R945" t="str">
        <f t="shared" si="71"/>
        <v>GOOD</v>
      </c>
      <c r="S945">
        <f t="shared" si="72"/>
        <v>0</v>
      </c>
      <c r="T945">
        <f t="shared" si="73"/>
        <v>0</v>
      </c>
      <c r="U945" t="str">
        <f t="shared" si="74"/>
        <v>OK</v>
      </c>
    </row>
    <row r="946" spans="1:21">
      <c r="A946" t="s">
        <v>958</v>
      </c>
      <c r="B946" t="s">
        <v>4676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 t="str">
        <f>IF((Sheet1[[#This Row],[Quantity]]*Sheet1[[#This Row],[UnitPrice]])=(Sheet1[[#This Row],[TotalPrice]]), "True", "False")</f>
        <v>True</v>
      </c>
      <c r="P946" t="str">
        <f>IF((Sheet1[[#This Row],[ItemsInCart]]&gt;=Sheet1[[#This Row],[Quantity]]), "Good", "Bad")</f>
        <v>Good</v>
      </c>
      <c r="Q946" t="str">
        <f t="shared" si="70"/>
        <v>OK</v>
      </c>
      <c r="R946" t="str">
        <f t="shared" si="71"/>
        <v>GOOD</v>
      </c>
      <c r="S946">
        <f t="shared" si="72"/>
        <v>0</v>
      </c>
      <c r="T946">
        <f t="shared" si="73"/>
        <v>0</v>
      </c>
      <c r="U946" t="str">
        <f t="shared" si="74"/>
        <v>OK</v>
      </c>
    </row>
    <row r="947" spans="1:21">
      <c r="A947" t="s">
        <v>959</v>
      </c>
      <c r="B947" t="s">
        <v>4321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 t="str">
        <f>IF((Sheet1[[#This Row],[Quantity]]*Sheet1[[#This Row],[UnitPrice]])=(Sheet1[[#This Row],[TotalPrice]]), "True", "False")</f>
        <v>True</v>
      </c>
      <c r="P947" t="str">
        <f>IF((Sheet1[[#This Row],[ItemsInCart]]&gt;=Sheet1[[#This Row],[Quantity]]), "Good", "Bad")</f>
        <v>Good</v>
      </c>
      <c r="Q947" t="str">
        <f t="shared" si="70"/>
        <v>OK</v>
      </c>
      <c r="R947" t="str">
        <f t="shared" si="71"/>
        <v>GOOD</v>
      </c>
      <c r="S947">
        <f t="shared" si="72"/>
        <v>0</v>
      </c>
      <c r="T947">
        <f t="shared" si="73"/>
        <v>0</v>
      </c>
      <c r="U947" t="str">
        <f t="shared" si="74"/>
        <v>OK</v>
      </c>
    </row>
    <row r="948" spans="1:21">
      <c r="A948" t="s">
        <v>960</v>
      </c>
      <c r="B948" t="s">
        <v>4881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 t="str">
        <f>IF((Sheet1[[#This Row],[Quantity]]*Sheet1[[#This Row],[UnitPrice]])=(Sheet1[[#This Row],[TotalPrice]]), "True", "False")</f>
        <v>True</v>
      </c>
      <c r="P948" t="str">
        <f>IF((Sheet1[[#This Row],[ItemsInCart]]&gt;=Sheet1[[#This Row],[Quantity]]), "Good", "Bad")</f>
        <v>Good</v>
      </c>
      <c r="Q948" t="str">
        <f t="shared" si="70"/>
        <v>OK</v>
      </c>
      <c r="R948" t="str">
        <f t="shared" si="71"/>
        <v>GOOD</v>
      </c>
      <c r="S948">
        <f t="shared" si="72"/>
        <v>0</v>
      </c>
      <c r="T948">
        <f t="shared" si="73"/>
        <v>0</v>
      </c>
      <c r="U948" t="str">
        <f t="shared" si="74"/>
        <v>OK</v>
      </c>
    </row>
    <row r="949" spans="1:21">
      <c r="A949" t="s">
        <v>961</v>
      </c>
      <c r="B949" t="s">
        <v>4882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 t="str">
        <f>IF((Sheet1[[#This Row],[Quantity]]*Sheet1[[#This Row],[UnitPrice]])=(Sheet1[[#This Row],[TotalPrice]]), "True", "False")</f>
        <v>True</v>
      </c>
      <c r="P949" t="str">
        <f>IF((Sheet1[[#This Row],[ItemsInCart]]&gt;=Sheet1[[#This Row],[Quantity]]), "Good", "Bad")</f>
        <v>Good</v>
      </c>
      <c r="Q949" t="str">
        <f t="shared" si="70"/>
        <v>OK</v>
      </c>
      <c r="R949" t="str">
        <f t="shared" si="71"/>
        <v>GOOD</v>
      </c>
      <c r="S949">
        <f t="shared" si="72"/>
        <v>0</v>
      </c>
      <c r="T949">
        <f t="shared" si="73"/>
        <v>0</v>
      </c>
      <c r="U949" t="str">
        <f t="shared" si="74"/>
        <v>OK</v>
      </c>
    </row>
    <row r="950" spans="1:21">
      <c r="A950" t="s">
        <v>962</v>
      </c>
      <c r="B950" t="s">
        <v>4870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4961</v>
      </c>
      <c r="M950" t="s">
        <v>4282</v>
      </c>
      <c r="N950">
        <v>1188.1400000000001</v>
      </c>
      <c r="O950" t="str">
        <f>IF((Sheet1[[#This Row],[Quantity]]*Sheet1[[#This Row],[UnitPrice]])=(Sheet1[[#This Row],[TotalPrice]]), "True", "False")</f>
        <v>True</v>
      </c>
      <c r="P950" t="str">
        <f>IF((Sheet1[[#This Row],[ItemsInCart]]&gt;=Sheet1[[#This Row],[Quantity]]), "Good", "Bad")</f>
        <v>Good</v>
      </c>
      <c r="Q950" t="str">
        <f t="shared" si="70"/>
        <v>OK</v>
      </c>
      <c r="R950" t="str">
        <f t="shared" si="71"/>
        <v>BAD</v>
      </c>
      <c r="S950">
        <f t="shared" si="72"/>
        <v>0</v>
      </c>
      <c r="T950">
        <f t="shared" si="73"/>
        <v>1</v>
      </c>
      <c r="U950" t="str">
        <f t="shared" si="74"/>
        <v>REVIEW_RETURN</v>
      </c>
    </row>
    <row r="951" spans="1:21">
      <c r="A951" t="s">
        <v>963</v>
      </c>
      <c r="B951" t="s">
        <v>4859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4961</v>
      </c>
      <c r="M951" t="s">
        <v>4279</v>
      </c>
      <c r="N951">
        <v>551.9</v>
      </c>
      <c r="O951" t="str">
        <f>IF((Sheet1[[#This Row],[Quantity]]*Sheet1[[#This Row],[UnitPrice]])=(Sheet1[[#This Row],[TotalPrice]]), "True", "False")</f>
        <v>True</v>
      </c>
      <c r="P951" t="str">
        <f>IF((Sheet1[[#This Row],[ItemsInCart]]&gt;=Sheet1[[#This Row],[Quantity]]), "Good", "Bad")</f>
        <v>Good</v>
      </c>
      <c r="Q951" t="str">
        <f t="shared" si="70"/>
        <v>OK</v>
      </c>
      <c r="R951" t="str">
        <f t="shared" si="71"/>
        <v>BAD</v>
      </c>
      <c r="S951">
        <f t="shared" si="72"/>
        <v>0</v>
      </c>
      <c r="T951">
        <f t="shared" si="73"/>
        <v>1</v>
      </c>
      <c r="U951" t="str">
        <f t="shared" si="74"/>
        <v>DOCUMENTED</v>
      </c>
    </row>
    <row r="952" spans="1:21">
      <c r="A952" t="s">
        <v>964</v>
      </c>
      <c r="B952" t="s">
        <v>4866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 t="str">
        <f>IF((Sheet1[[#This Row],[Quantity]]*Sheet1[[#This Row],[UnitPrice]])=(Sheet1[[#This Row],[TotalPrice]]), "True", "False")</f>
        <v>True</v>
      </c>
      <c r="P952" t="str">
        <f>IF((Sheet1[[#This Row],[ItemsInCart]]&gt;=Sheet1[[#This Row],[Quantity]]), "Good", "Bad")</f>
        <v>Good</v>
      </c>
      <c r="Q952" t="str">
        <f t="shared" si="70"/>
        <v>OK</v>
      </c>
      <c r="R952" t="str">
        <f t="shared" si="71"/>
        <v>GOOD</v>
      </c>
      <c r="S952">
        <f t="shared" si="72"/>
        <v>0</v>
      </c>
      <c r="T952">
        <f t="shared" si="73"/>
        <v>0</v>
      </c>
      <c r="U952" t="str">
        <f t="shared" si="74"/>
        <v>OK</v>
      </c>
    </row>
    <row r="953" spans="1:21">
      <c r="A953" t="s">
        <v>965</v>
      </c>
      <c r="B953" t="s">
        <v>4602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 t="str">
        <f>IF((Sheet1[[#This Row],[Quantity]]*Sheet1[[#This Row],[UnitPrice]])=(Sheet1[[#This Row],[TotalPrice]]), "True", "False")</f>
        <v>True</v>
      </c>
      <c r="P953" t="str">
        <f>IF((Sheet1[[#This Row],[ItemsInCart]]&gt;=Sheet1[[#This Row],[Quantity]]), "Good", "Bad")</f>
        <v>Good</v>
      </c>
      <c r="Q953" t="str">
        <f t="shared" si="70"/>
        <v>OK</v>
      </c>
      <c r="R953" t="str">
        <f t="shared" si="71"/>
        <v>GOOD</v>
      </c>
      <c r="S953">
        <f t="shared" si="72"/>
        <v>0</v>
      </c>
      <c r="T953">
        <f t="shared" si="73"/>
        <v>0</v>
      </c>
      <c r="U953" t="str">
        <f t="shared" si="74"/>
        <v>OK</v>
      </c>
    </row>
    <row r="954" spans="1:21">
      <c r="A954" t="s">
        <v>966</v>
      </c>
      <c r="B954" t="s">
        <v>4320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4961</v>
      </c>
      <c r="M954" t="s">
        <v>4281</v>
      </c>
      <c r="N954">
        <v>1510.17</v>
      </c>
      <c r="O954" t="str">
        <f>IF((Sheet1[[#This Row],[Quantity]]*Sheet1[[#This Row],[UnitPrice]])=(Sheet1[[#This Row],[TotalPrice]]), "True", "False")</f>
        <v>True</v>
      </c>
      <c r="P954" t="str">
        <f>IF((Sheet1[[#This Row],[ItemsInCart]]&gt;=Sheet1[[#This Row],[Quantity]]), "Good", "Bad")</f>
        <v>Good</v>
      </c>
      <c r="Q954" t="str">
        <f t="shared" si="70"/>
        <v>OK</v>
      </c>
      <c r="R954" t="str">
        <f t="shared" si="71"/>
        <v>BAD</v>
      </c>
      <c r="S954">
        <f t="shared" si="72"/>
        <v>0</v>
      </c>
      <c r="T954">
        <f t="shared" si="73"/>
        <v>1</v>
      </c>
      <c r="U954" t="str">
        <f t="shared" si="74"/>
        <v>DOCUMENTED</v>
      </c>
    </row>
    <row r="955" spans="1:21">
      <c r="A955" t="s">
        <v>967</v>
      </c>
      <c r="B955" t="s">
        <v>4883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 t="str">
        <f>IF((Sheet1[[#This Row],[Quantity]]*Sheet1[[#This Row],[UnitPrice]])=(Sheet1[[#This Row],[TotalPrice]]), "True", "False")</f>
        <v>True</v>
      </c>
      <c r="P955" t="str">
        <f>IF((Sheet1[[#This Row],[ItemsInCart]]&gt;=Sheet1[[#This Row],[Quantity]]), "Good", "Bad")</f>
        <v>Good</v>
      </c>
      <c r="Q955" t="str">
        <f t="shared" si="70"/>
        <v>OK</v>
      </c>
      <c r="R955" t="str">
        <f t="shared" si="71"/>
        <v>GOOD</v>
      </c>
      <c r="S955">
        <f t="shared" si="72"/>
        <v>0</v>
      </c>
      <c r="T955">
        <f t="shared" si="73"/>
        <v>0</v>
      </c>
      <c r="U955" t="str">
        <f t="shared" si="74"/>
        <v>OK</v>
      </c>
    </row>
    <row r="956" spans="1:21">
      <c r="A956" t="s">
        <v>968</v>
      </c>
      <c r="B956" t="s">
        <v>4884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 t="str">
        <f>IF((Sheet1[[#This Row],[Quantity]]*Sheet1[[#This Row],[UnitPrice]])=(Sheet1[[#This Row],[TotalPrice]]), "True", "False")</f>
        <v>True</v>
      </c>
      <c r="P956" t="str">
        <f>IF((Sheet1[[#This Row],[ItemsInCart]]&gt;=Sheet1[[#This Row],[Quantity]]), "Good", "Bad")</f>
        <v>Good</v>
      </c>
      <c r="Q956" t="str">
        <f t="shared" si="70"/>
        <v>OK</v>
      </c>
      <c r="R956" t="str">
        <f t="shared" si="71"/>
        <v>GOOD</v>
      </c>
      <c r="S956">
        <f t="shared" si="72"/>
        <v>0</v>
      </c>
      <c r="T956">
        <f t="shared" si="73"/>
        <v>0</v>
      </c>
      <c r="U956" t="str">
        <f t="shared" si="74"/>
        <v>OK</v>
      </c>
    </row>
    <row r="957" spans="1:21">
      <c r="A957" t="s">
        <v>969</v>
      </c>
      <c r="B957" t="s">
        <v>4302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 t="str">
        <f>IF((Sheet1[[#This Row],[Quantity]]*Sheet1[[#This Row],[UnitPrice]])=(Sheet1[[#This Row],[TotalPrice]]), "True", "False")</f>
        <v>True</v>
      </c>
      <c r="P957" t="str">
        <f>IF((Sheet1[[#This Row],[ItemsInCart]]&gt;=Sheet1[[#This Row],[Quantity]]), "Good", "Bad")</f>
        <v>Good</v>
      </c>
      <c r="Q957" t="str">
        <f t="shared" si="70"/>
        <v>OK</v>
      </c>
      <c r="R957" t="str">
        <f t="shared" si="71"/>
        <v>GOOD</v>
      </c>
      <c r="S957">
        <f t="shared" si="72"/>
        <v>0</v>
      </c>
      <c r="T957">
        <f t="shared" si="73"/>
        <v>0</v>
      </c>
      <c r="U957" t="str">
        <f t="shared" si="74"/>
        <v>OK</v>
      </c>
    </row>
    <row r="958" spans="1:21">
      <c r="A958" t="s">
        <v>970</v>
      </c>
      <c r="B958" t="s">
        <v>4449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 t="str">
        <f>IF((Sheet1[[#This Row],[Quantity]]*Sheet1[[#This Row],[UnitPrice]])=(Sheet1[[#This Row],[TotalPrice]]), "True", "False")</f>
        <v>True</v>
      </c>
      <c r="P958" t="str">
        <f>IF((Sheet1[[#This Row],[ItemsInCart]]&gt;=Sheet1[[#This Row],[Quantity]]), "Good", "Bad")</f>
        <v>Good</v>
      </c>
      <c r="Q958" t="str">
        <f t="shared" si="70"/>
        <v>OK</v>
      </c>
      <c r="R958" t="str">
        <f t="shared" si="71"/>
        <v>GOOD</v>
      </c>
      <c r="S958">
        <f t="shared" si="72"/>
        <v>0</v>
      </c>
      <c r="T958">
        <f t="shared" si="73"/>
        <v>0</v>
      </c>
      <c r="U958" t="str">
        <f t="shared" si="74"/>
        <v>OK</v>
      </c>
    </row>
    <row r="959" spans="1:21">
      <c r="A959" t="s">
        <v>971</v>
      </c>
      <c r="B959" t="s">
        <v>4885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 t="str">
        <f>IF((Sheet1[[#This Row],[Quantity]]*Sheet1[[#This Row],[UnitPrice]])=(Sheet1[[#This Row],[TotalPrice]]), "True", "False")</f>
        <v>True</v>
      </c>
      <c r="P959" t="str">
        <f>IF((Sheet1[[#This Row],[ItemsInCart]]&gt;=Sheet1[[#This Row],[Quantity]]), "Good", "Bad")</f>
        <v>Good</v>
      </c>
      <c r="Q959" t="str">
        <f t="shared" si="70"/>
        <v>OK</v>
      </c>
      <c r="R959" t="str">
        <f t="shared" si="71"/>
        <v>GOOD</v>
      </c>
      <c r="S959">
        <f t="shared" si="72"/>
        <v>0</v>
      </c>
      <c r="T959">
        <f t="shared" si="73"/>
        <v>0</v>
      </c>
      <c r="U959" t="str">
        <f t="shared" si="74"/>
        <v>OK</v>
      </c>
    </row>
    <row r="960" spans="1:21">
      <c r="A960" t="s">
        <v>972</v>
      </c>
      <c r="B960" t="s">
        <v>4886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 t="str">
        <f>IF((Sheet1[[#This Row],[Quantity]]*Sheet1[[#This Row],[UnitPrice]])=(Sheet1[[#This Row],[TotalPrice]]), "True", "False")</f>
        <v>True</v>
      </c>
      <c r="P960" t="str">
        <f>IF((Sheet1[[#This Row],[ItemsInCart]]&gt;=Sheet1[[#This Row],[Quantity]]), "Good", "Bad")</f>
        <v>Good</v>
      </c>
      <c r="Q960" t="str">
        <f t="shared" si="70"/>
        <v>OK</v>
      </c>
      <c r="R960" t="str">
        <f t="shared" si="71"/>
        <v>GOOD</v>
      </c>
      <c r="S960">
        <f t="shared" si="72"/>
        <v>0</v>
      </c>
      <c r="T960">
        <f t="shared" si="73"/>
        <v>0</v>
      </c>
      <c r="U960" t="str">
        <f t="shared" si="74"/>
        <v>OK</v>
      </c>
    </row>
    <row r="961" spans="1:21">
      <c r="A961" t="s">
        <v>973</v>
      </c>
      <c r="B961" t="s">
        <v>4887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 t="str">
        <f>IF((Sheet1[[#This Row],[Quantity]]*Sheet1[[#This Row],[UnitPrice]])=(Sheet1[[#This Row],[TotalPrice]]), "True", "False")</f>
        <v>True</v>
      </c>
      <c r="P961" t="str">
        <f>IF((Sheet1[[#This Row],[ItemsInCart]]&gt;=Sheet1[[#This Row],[Quantity]]), "Good", "Bad")</f>
        <v>Good</v>
      </c>
      <c r="Q961" t="str">
        <f t="shared" si="70"/>
        <v>OK</v>
      </c>
      <c r="R961" t="str">
        <f t="shared" si="71"/>
        <v>GOOD</v>
      </c>
      <c r="S961">
        <f t="shared" si="72"/>
        <v>0</v>
      </c>
      <c r="T961">
        <f t="shared" si="73"/>
        <v>0</v>
      </c>
      <c r="U961" t="str">
        <f t="shared" si="74"/>
        <v>OK</v>
      </c>
    </row>
    <row r="962" spans="1:21">
      <c r="A962" t="s">
        <v>974</v>
      </c>
      <c r="B962" t="s">
        <v>4349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 t="str">
        <f>IF((Sheet1[[#This Row],[Quantity]]*Sheet1[[#This Row],[UnitPrice]])=(Sheet1[[#This Row],[TotalPrice]]), "True", "False")</f>
        <v>True</v>
      </c>
      <c r="P962" t="str">
        <f>IF((Sheet1[[#This Row],[ItemsInCart]]&gt;=Sheet1[[#This Row],[Quantity]]), "Good", "Bad")</f>
        <v>Good</v>
      </c>
      <c r="Q962" t="str">
        <f t="shared" ref="Q962:Q1025" si="75">IF(AND(E962&gt;0, F962&gt;0,N962&gt;0),"OK","INVALID")</f>
        <v>OK</v>
      </c>
      <c r="R962" t="str">
        <f t="shared" ref="R962:R1025" si="76">IF(OR(AND(OR(I962="Shipped",I962="Delivered",I962="Returned"),J962=""),AND(OR(I962="Processing",I962="Pending",I962="Cancelled"),J962&lt;&gt;"")),"BAD","GOOD")</f>
        <v>BAD</v>
      </c>
      <c r="S962">
        <f t="shared" ref="S962:S1025" si="77">IF(AND(OR(I962="Shipped",I962="Delivered",I962="Returned"),J962=""),1,0)</f>
        <v>0</v>
      </c>
      <c r="T962">
        <f t="shared" ref="T962:T1025" si="78">IF(AND(OR(I962="Processing",I962="Pending",I962="Cancelled"),J962&lt;&gt;""),1,0)</f>
        <v>1</v>
      </c>
      <c r="U962" t="str">
        <f t="shared" ref="U962:U1025" si="79">IF(AND(OR(I962="Shipped",I962="Delivered"),J962=""),"MISSING_TRACKING", IF(AND(OR(I962="Processing",I962="Pending"),J962&lt;&gt;""),"DOCUMENTED", IF(AND(I962="Cancelled",J962&lt;&gt;""), "REVIEW_RETURN", "OK")))</f>
        <v>DOCUMENTED</v>
      </c>
    </row>
    <row r="963" spans="1:21">
      <c r="A963" t="s">
        <v>975</v>
      </c>
      <c r="B963" t="s">
        <v>4718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4961</v>
      </c>
      <c r="M963" t="s">
        <v>4281</v>
      </c>
      <c r="N963">
        <v>601.36</v>
      </c>
      <c r="O963" t="str">
        <f>IF((Sheet1[[#This Row],[Quantity]]*Sheet1[[#This Row],[UnitPrice]])=(Sheet1[[#This Row],[TotalPrice]]), "True", "False")</f>
        <v>True</v>
      </c>
      <c r="P963" t="str">
        <f>IF((Sheet1[[#This Row],[ItemsInCart]]&gt;=Sheet1[[#This Row],[Quantity]]), "Good", "Bad")</f>
        <v>Good</v>
      </c>
      <c r="Q963" t="str">
        <f t="shared" si="75"/>
        <v>OK</v>
      </c>
      <c r="R963" t="str">
        <f t="shared" si="76"/>
        <v>GOOD</v>
      </c>
      <c r="S963">
        <f t="shared" si="77"/>
        <v>0</v>
      </c>
      <c r="T963">
        <f t="shared" si="78"/>
        <v>0</v>
      </c>
      <c r="U963" t="str">
        <f t="shared" si="79"/>
        <v>OK</v>
      </c>
    </row>
    <row r="964" spans="1:21">
      <c r="A964" t="s">
        <v>976</v>
      </c>
      <c r="B964" t="s">
        <v>4888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 t="str">
        <f>IF((Sheet1[[#This Row],[Quantity]]*Sheet1[[#This Row],[UnitPrice]])=(Sheet1[[#This Row],[TotalPrice]]), "True", "False")</f>
        <v>True</v>
      </c>
      <c r="P964" t="str">
        <f>IF((Sheet1[[#This Row],[ItemsInCart]]&gt;=Sheet1[[#This Row],[Quantity]]), "Good", "Bad")</f>
        <v>Good</v>
      </c>
      <c r="Q964" t="str">
        <f t="shared" si="75"/>
        <v>OK</v>
      </c>
      <c r="R964" t="str">
        <f t="shared" si="76"/>
        <v>GOOD</v>
      </c>
      <c r="S964">
        <f t="shared" si="77"/>
        <v>0</v>
      </c>
      <c r="T964">
        <f t="shared" si="78"/>
        <v>0</v>
      </c>
      <c r="U964" t="str">
        <f t="shared" si="79"/>
        <v>OK</v>
      </c>
    </row>
    <row r="965" spans="1:21">
      <c r="A965" t="s">
        <v>977</v>
      </c>
      <c r="B965" t="s">
        <v>4889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 t="str">
        <f>IF((Sheet1[[#This Row],[Quantity]]*Sheet1[[#This Row],[UnitPrice]])=(Sheet1[[#This Row],[TotalPrice]]), "True", "False")</f>
        <v>True</v>
      </c>
      <c r="P965" t="str">
        <f>IF((Sheet1[[#This Row],[ItemsInCart]]&gt;=Sheet1[[#This Row],[Quantity]]), "Good", "Bad")</f>
        <v>Good</v>
      </c>
      <c r="Q965" t="str">
        <f t="shared" si="75"/>
        <v>OK</v>
      </c>
      <c r="R965" t="str">
        <f t="shared" si="76"/>
        <v>GOOD</v>
      </c>
      <c r="S965">
        <f t="shared" si="77"/>
        <v>0</v>
      </c>
      <c r="T965">
        <f t="shared" si="78"/>
        <v>0</v>
      </c>
      <c r="U965" t="str">
        <f t="shared" si="79"/>
        <v>OK</v>
      </c>
    </row>
    <row r="966" spans="1:21">
      <c r="A966" t="s">
        <v>978</v>
      </c>
      <c r="B966" t="s">
        <v>4321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 t="str">
        <f>IF((Sheet1[[#This Row],[Quantity]]*Sheet1[[#This Row],[UnitPrice]])=(Sheet1[[#This Row],[TotalPrice]]), "True", "False")</f>
        <v>True</v>
      </c>
      <c r="P966" t="str">
        <f>IF((Sheet1[[#This Row],[ItemsInCart]]&gt;=Sheet1[[#This Row],[Quantity]]), "Good", "Bad")</f>
        <v>Good</v>
      </c>
      <c r="Q966" t="str">
        <f t="shared" si="75"/>
        <v>OK</v>
      </c>
      <c r="R966" t="str">
        <f t="shared" si="76"/>
        <v>BAD</v>
      </c>
      <c r="S966">
        <f t="shared" si="77"/>
        <v>0</v>
      </c>
      <c r="T966">
        <f t="shared" si="78"/>
        <v>1</v>
      </c>
      <c r="U966" t="str">
        <f t="shared" si="79"/>
        <v>REVIEW_RETURN</v>
      </c>
    </row>
    <row r="967" spans="1:21">
      <c r="A967" t="s">
        <v>979</v>
      </c>
      <c r="B967" t="s">
        <v>4890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 t="str">
        <f>IF((Sheet1[[#This Row],[Quantity]]*Sheet1[[#This Row],[UnitPrice]])=(Sheet1[[#This Row],[TotalPrice]]), "True", "False")</f>
        <v>True</v>
      </c>
      <c r="P967" t="str">
        <f>IF((Sheet1[[#This Row],[ItemsInCart]]&gt;=Sheet1[[#This Row],[Quantity]]), "Good", "Bad")</f>
        <v>Good</v>
      </c>
      <c r="Q967" t="str">
        <f t="shared" si="75"/>
        <v>OK</v>
      </c>
      <c r="R967" t="str">
        <f t="shared" si="76"/>
        <v>BAD</v>
      </c>
      <c r="S967">
        <f t="shared" si="77"/>
        <v>0</v>
      </c>
      <c r="T967">
        <f t="shared" si="78"/>
        <v>1</v>
      </c>
      <c r="U967" t="str">
        <f t="shared" si="79"/>
        <v>REVIEW_RETURN</v>
      </c>
    </row>
    <row r="968" spans="1:21">
      <c r="A968" t="s">
        <v>980</v>
      </c>
      <c r="B968" t="s">
        <v>4891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 t="str">
        <f>IF((Sheet1[[#This Row],[Quantity]]*Sheet1[[#This Row],[UnitPrice]])=(Sheet1[[#This Row],[TotalPrice]]), "True", "False")</f>
        <v>True</v>
      </c>
      <c r="P968" t="str">
        <f>IF((Sheet1[[#This Row],[ItemsInCart]]&gt;=Sheet1[[#This Row],[Quantity]]), "Good", "Bad")</f>
        <v>Good</v>
      </c>
      <c r="Q968" t="str">
        <f t="shared" si="75"/>
        <v>OK</v>
      </c>
      <c r="R968" t="str">
        <f t="shared" si="76"/>
        <v>BAD</v>
      </c>
      <c r="S968">
        <f t="shared" si="77"/>
        <v>0</v>
      </c>
      <c r="T968">
        <f t="shared" si="78"/>
        <v>1</v>
      </c>
      <c r="U968" t="str">
        <f t="shared" si="79"/>
        <v>REVIEW_RETURN</v>
      </c>
    </row>
    <row r="969" spans="1:21">
      <c r="A969" t="s">
        <v>981</v>
      </c>
      <c r="B969" t="s">
        <v>4421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 t="str">
        <f>IF((Sheet1[[#This Row],[Quantity]]*Sheet1[[#This Row],[UnitPrice]])=(Sheet1[[#This Row],[TotalPrice]]), "True", "False")</f>
        <v>True</v>
      </c>
      <c r="P969" t="str">
        <f>IF((Sheet1[[#This Row],[ItemsInCart]]&gt;=Sheet1[[#This Row],[Quantity]]), "Good", "Bad")</f>
        <v>Good</v>
      </c>
      <c r="Q969" t="str">
        <f t="shared" si="75"/>
        <v>OK</v>
      </c>
      <c r="R969" t="str">
        <f t="shared" si="76"/>
        <v>GOOD</v>
      </c>
      <c r="S969">
        <f t="shared" si="77"/>
        <v>0</v>
      </c>
      <c r="T969">
        <f t="shared" si="78"/>
        <v>0</v>
      </c>
      <c r="U969" t="str">
        <f t="shared" si="79"/>
        <v>OK</v>
      </c>
    </row>
    <row r="970" spans="1:21">
      <c r="A970" t="s">
        <v>982</v>
      </c>
      <c r="B970" t="s">
        <v>4741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 t="str">
        <f>IF((Sheet1[[#This Row],[Quantity]]*Sheet1[[#This Row],[UnitPrice]])=(Sheet1[[#This Row],[TotalPrice]]), "True", "False")</f>
        <v>True</v>
      </c>
      <c r="P970" t="str">
        <f>IF((Sheet1[[#This Row],[ItemsInCart]]&gt;=Sheet1[[#This Row],[Quantity]]), "Good", "Bad")</f>
        <v>Good</v>
      </c>
      <c r="Q970" t="str">
        <f t="shared" si="75"/>
        <v>OK</v>
      </c>
      <c r="R970" t="str">
        <f t="shared" si="76"/>
        <v>GOOD</v>
      </c>
      <c r="S970">
        <f t="shared" si="77"/>
        <v>0</v>
      </c>
      <c r="T970">
        <f t="shared" si="78"/>
        <v>0</v>
      </c>
      <c r="U970" t="str">
        <f t="shared" si="79"/>
        <v>OK</v>
      </c>
    </row>
    <row r="971" spans="1:21">
      <c r="A971" t="s">
        <v>983</v>
      </c>
      <c r="B971" t="s">
        <v>4368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 t="str">
        <f>IF((Sheet1[[#This Row],[Quantity]]*Sheet1[[#This Row],[UnitPrice]])=(Sheet1[[#This Row],[TotalPrice]]), "True", "False")</f>
        <v>True</v>
      </c>
      <c r="P971" t="str">
        <f>IF((Sheet1[[#This Row],[ItemsInCart]]&gt;=Sheet1[[#This Row],[Quantity]]), "Good", "Bad")</f>
        <v>Good</v>
      </c>
      <c r="Q971" t="str">
        <f t="shared" si="75"/>
        <v>OK</v>
      </c>
      <c r="R971" t="str">
        <f t="shared" si="76"/>
        <v>GOOD</v>
      </c>
      <c r="S971">
        <f t="shared" si="77"/>
        <v>0</v>
      </c>
      <c r="T971">
        <f t="shared" si="78"/>
        <v>0</v>
      </c>
      <c r="U971" t="str">
        <f t="shared" si="79"/>
        <v>OK</v>
      </c>
    </row>
    <row r="972" spans="1:21">
      <c r="A972" t="s">
        <v>984</v>
      </c>
      <c r="B972" t="s">
        <v>4892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 t="str">
        <f>IF((Sheet1[[#This Row],[Quantity]]*Sheet1[[#This Row],[UnitPrice]])=(Sheet1[[#This Row],[TotalPrice]]), "True", "False")</f>
        <v>True</v>
      </c>
      <c r="P972" t="str">
        <f>IF((Sheet1[[#This Row],[ItemsInCart]]&gt;=Sheet1[[#This Row],[Quantity]]), "Good", "Bad")</f>
        <v>Good</v>
      </c>
      <c r="Q972" t="str">
        <f t="shared" si="75"/>
        <v>OK</v>
      </c>
      <c r="R972" t="str">
        <f t="shared" si="76"/>
        <v>GOOD</v>
      </c>
      <c r="S972">
        <f t="shared" si="77"/>
        <v>0</v>
      </c>
      <c r="T972">
        <f t="shared" si="78"/>
        <v>0</v>
      </c>
      <c r="U972" t="str">
        <f t="shared" si="79"/>
        <v>OK</v>
      </c>
    </row>
    <row r="973" spans="1:21">
      <c r="A973" t="s">
        <v>985</v>
      </c>
      <c r="B973" t="s">
        <v>4865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 t="str">
        <f>IF((Sheet1[[#This Row],[Quantity]]*Sheet1[[#This Row],[UnitPrice]])=(Sheet1[[#This Row],[TotalPrice]]), "True", "False")</f>
        <v>True</v>
      </c>
      <c r="P973" t="str">
        <f>IF((Sheet1[[#This Row],[ItemsInCart]]&gt;=Sheet1[[#This Row],[Quantity]]), "Good", "Bad")</f>
        <v>Good</v>
      </c>
      <c r="Q973" t="str">
        <f t="shared" si="75"/>
        <v>OK</v>
      </c>
      <c r="R973" t="str">
        <f t="shared" si="76"/>
        <v>BAD</v>
      </c>
      <c r="S973">
        <f t="shared" si="77"/>
        <v>0</v>
      </c>
      <c r="T973">
        <f t="shared" si="78"/>
        <v>1</v>
      </c>
      <c r="U973" t="str">
        <f t="shared" si="79"/>
        <v>REVIEW_RETURN</v>
      </c>
    </row>
    <row r="974" spans="1:21">
      <c r="A974" t="s">
        <v>986</v>
      </c>
      <c r="B974" t="s">
        <v>4693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 t="str">
        <f>IF((Sheet1[[#This Row],[Quantity]]*Sheet1[[#This Row],[UnitPrice]])=(Sheet1[[#This Row],[TotalPrice]]), "True", "False")</f>
        <v>True</v>
      </c>
      <c r="P974" t="str">
        <f>IF((Sheet1[[#This Row],[ItemsInCart]]&gt;=Sheet1[[#This Row],[Quantity]]), "Good", "Bad")</f>
        <v>Good</v>
      </c>
      <c r="Q974" t="str">
        <f t="shared" si="75"/>
        <v>OK</v>
      </c>
      <c r="R974" t="str">
        <f t="shared" si="76"/>
        <v>GOOD</v>
      </c>
      <c r="S974">
        <f t="shared" si="77"/>
        <v>0</v>
      </c>
      <c r="T974">
        <f t="shared" si="78"/>
        <v>0</v>
      </c>
      <c r="U974" t="str">
        <f t="shared" si="79"/>
        <v>OK</v>
      </c>
    </row>
    <row r="975" spans="1:21">
      <c r="A975" t="s">
        <v>987</v>
      </c>
      <c r="B975" t="s">
        <v>4842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 t="str">
        <f>IF((Sheet1[[#This Row],[Quantity]]*Sheet1[[#This Row],[UnitPrice]])=(Sheet1[[#This Row],[TotalPrice]]), "True", "False")</f>
        <v>True</v>
      </c>
      <c r="P975" t="str">
        <f>IF((Sheet1[[#This Row],[ItemsInCart]]&gt;=Sheet1[[#This Row],[Quantity]]), "Good", "Bad")</f>
        <v>Good</v>
      </c>
      <c r="Q975" t="str">
        <f t="shared" si="75"/>
        <v>OK</v>
      </c>
      <c r="R975" t="str">
        <f t="shared" si="76"/>
        <v>BAD</v>
      </c>
      <c r="S975">
        <f t="shared" si="77"/>
        <v>0</v>
      </c>
      <c r="T975">
        <f t="shared" si="78"/>
        <v>1</v>
      </c>
      <c r="U975" t="str">
        <f t="shared" si="79"/>
        <v>DOCUMENTED</v>
      </c>
    </row>
    <row r="976" spans="1:21">
      <c r="A976" t="s">
        <v>988</v>
      </c>
      <c r="B976" t="s">
        <v>4893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4961</v>
      </c>
      <c r="M976" t="s">
        <v>4280</v>
      </c>
      <c r="N976">
        <v>1333.9</v>
      </c>
      <c r="O976" t="str">
        <f>IF((Sheet1[[#This Row],[Quantity]]*Sheet1[[#This Row],[UnitPrice]])=(Sheet1[[#This Row],[TotalPrice]]), "True", "False")</f>
        <v>True</v>
      </c>
      <c r="P976" t="str">
        <f>IF((Sheet1[[#This Row],[ItemsInCart]]&gt;=Sheet1[[#This Row],[Quantity]]), "Good", "Bad")</f>
        <v>Good</v>
      </c>
      <c r="Q976" t="str">
        <f t="shared" si="75"/>
        <v>OK</v>
      </c>
      <c r="R976" t="str">
        <f t="shared" si="76"/>
        <v>BAD</v>
      </c>
      <c r="S976">
        <f t="shared" si="77"/>
        <v>0</v>
      </c>
      <c r="T976">
        <f t="shared" si="78"/>
        <v>1</v>
      </c>
      <c r="U976" t="str">
        <f t="shared" si="79"/>
        <v>REVIEW_RETURN</v>
      </c>
    </row>
    <row r="977" spans="1:21">
      <c r="A977" t="s">
        <v>989</v>
      </c>
      <c r="B977" t="s">
        <v>4702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 t="str">
        <f>IF((Sheet1[[#This Row],[Quantity]]*Sheet1[[#This Row],[UnitPrice]])=(Sheet1[[#This Row],[TotalPrice]]), "True", "False")</f>
        <v>True</v>
      </c>
      <c r="P977" t="str">
        <f>IF((Sheet1[[#This Row],[ItemsInCart]]&gt;=Sheet1[[#This Row],[Quantity]]), "Good", "Bad")</f>
        <v>Good</v>
      </c>
      <c r="Q977" t="str">
        <f t="shared" si="75"/>
        <v>OK</v>
      </c>
      <c r="R977" t="str">
        <f t="shared" si="76"/>
        <v>GOOD</v>
      </c>
      <c r="S977">
        <f t="shared" si="77"/>
        <v>0</v>
      </c>
      <c r="T977">
        <f t="shared" si="78"/>
        <v>0</v>
      </c>
      <c r="U977" t="str">
        <f t="shared" si="79"/>
        <v>OK</v>
      </c>
    </row>
    <row r="978" spans="1:21">
      <c r="A978" t="s">
        <v>990</v>
      </c>
      <c r="B978" t="s">
        <v>4455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 t="str">
        <f>IF((Sheet1[[#This Row],[Quantity]]*Sheet1[[#This Row],[UnitPrice]])=(Sheet1[[#This Row],[TotalPrice]]), "True", "False")</f>
        <v>True</v>
      </c>
      <c r="P978" t="str">
        <f>IF((Sheet1[[#This Row],[ItemsInCart]]&gt;=Sheet1[[#This Row],[Quantity]]), "Good", "Bad")</f>
        <v>Good</v>
      </c>
      <c r="Q978" t="str">
        <f t="shared" si="75"/>
        <v>OK</v>
      </c>
      <c r="R978" t="str">
        <f t="shared" si="76"/>
        <v>GOOD</v>
      </c>
      <c r="S978">
        <f t="shared" si="77"/>
        <v>0</v>
      </c>
      <c r="T978">
        <f t="shared" si="78"/>
        <v>0</v>
      </c>
      <c r="U978" t="str">
        <f t="shared" si="79"/>
        <v>OK</v>
      </c>
    </row>
    <row r="979" spans="1:21">
      <c r="A979" t="s">
        <v>991</v>
      </c>
      <c r="B979" t="s">
        <v>4706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 t="str">
        <f>IF((Sheet1[[#This Row],[Quantity]]*Sheet1[[#This Row],[UnitPrice]])=(Sheet1[[#This Row],[TotalPrice]]), "True", "False")</f>
        <v>True</v>
      </c>
      <c r="P979" t="str">
        <f>IF((Sheet1[[#This Row],[ItemsInCart]]&gt;=Sheet1[[#This Row],[Quantity]]), "Good", "Bad")</f>
        <v>Good</v>
      </c>
      <c r="Q979" t="str">
        <f t="shared" si="75"/>
        <v>OK</v>
      </c>
      <c r="R979" t="str">
        <f t="shared" si="76"/>
        <v>BAD</v>
      </c>
      <c r="S979">
        <f t="shared" si="77"/>
        <v>0</v>
      </c>
      <c r="T979">
        <f t="shared" si="78"/>
        <v>1</v>
      </c>
      <c r="U979" t="str">
        <f t="shared" si="79"/>
        <v>DOCUMENTED</v>
      </c>
    </row>
    <row r="980" spans="1:21">
      <c r="A980" t="s">
        <v>992</v>
      </c>
      <c r="B980" t="s">
        <v>4894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4961</v>
      </c>
      <c r="M980" t="s">
        <v>4282</v>
      </c>
      <c r="N980">
        <v>429.96</v>
      </c>
      <c r="O980" t="str">
        <f>IF((Sheet1[[#This Row],[Quantity]]*Sheet1[[#This Row],[UnitPrice]])=(Sheet1[[#This Row],[TotalPrice]]), "True", "False")</f>
        <v>True</v>
      </c>
      <c r="P980" t="str">
        <f>IF((Sheet1[[#This Row],[ItemsInCart]]&gt;=Sheet1[[#This Row],[Quantity]]), "Good", "Bad")</f>
        <v>Good</v>
      </c>
      <c r="Q980" t="str">
        <f t="shared" si="75"/>
        <v>OK</v>
      </c>
      <c r="R980" t="str">
        <f t="shared" si="76"/>
        <v>GOOD</v>
      </c>
      <c r="S980">
        <f t="shared" si="77"/>
        <v>0</v>
      </c>
      <c r="T980">
        <f t="shared" si="78"/>
        <v>0</v>
      </c>
      <c r="U980" t="str">
        <f t="shared" si="79"/>
        <v>OK</v>
      </c>
    </row>
    <row r="981" spans="1:21">
      <c r="A981" t="s">
        <v>993</v>
      </c>
      <c r="B981" t="s">
        <v>4829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 t="str">
        <f>IF((Sheet1[[#This Row],[Quantity]]*Sheet1[[#This Row],[UnitPrice]])=(Sheet1[[#This Row],[TotalPrice]]), "True", "False")</f>
        <v>True</v>
      </c>
      <c r="P981" t="str">
        <f>IF((Sheet1[[#This Row],[ItemsInCart]]&gt;=Sheet1[[#This Row],[Quantity]]), "Good", "Bad")</f>
        <v>Good</v>
      </c>
      <c r="Q981" t="str">
        <f t="shared" si="75"/>
        <v>OK</v>
      </c>
      <c r="R981" t="str">
        <f t="shared" si="76"/>
        <v>GOOD</v>
      </c>
      <c r="S981">
        <f t="shared" si="77"/>
        <v>0</v>
      </c>
      <c r="T981">
        <f t="shared" si="78"/>
        <v>0</v>
      </c>
      <c r="U981" t="str">
        <f t="shared" si="79"/>
        <v>OK</v>
      </c>
    </row>
    <row r="982" spans="1:21">
      <c r="A982" t="s">
        <v>994</v>
      </c>
      <c r="B982" t="s">
        <v>4895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 t="str">
        <f>IF((Sheet1[[#This Row],[Quantity]]*Sheet1[[#This Row],[UnitPrice]])=(Sheet1[[#This Row],[TotalPrice]]), "True", "False")</f>
        <v>True</v>
      </c>
      <c r="P982" t="str">
        <f>IF((Sheet1[[#This Row],[ItemsInCart]]&gt;=Sheet1[[#This Row],[Quantity]]), "Good", "Bad")</f>
        <v>Good</v>
      </c>
      <c r="Q982" t="str">
        <f t="shared" si="75"/>
        <v>OK</v>
      </c>
      <c r="R982" t="str">
        <f t="shared" si="76"/>
        <v>GOOD</v>
      </c>
      <c r="S982">
        <f t="shared" si="77"/>
        <v>0</v>
      </c>
      <c r="T982">
        <f t="shared" si="78"/>
        <v>0</v>
      </c>
      <c r="U982" t="str">
        <f t="shared" si="79"/>
        <v>OK</v>
      </c>
    </row>
    <row r="983" spans="1:21">
      <c r="A983" t="s">
        <v>995</v>
      </c>
      <c r="B983" t="s">
        <v>4654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 t="str">
        <f>IF((Sheet1[[#This Row],[Quantity]]*Sheet1[[#This Row],[UnitPrice]])=(Sheet1[[#This Row],[TotalPrice]]), "True", "False")</f>
        <v>True</v>
      </c>
      <c r="P983" t="str">
        <f>IF((Sheet1[[#This Row],[ItemsInCart]]&gt;=Sheet1[[#This Row],[Quantity]]), "Good", "Bad")</f>
        <v>Good</v>
      </c>
      <c r="Q983" t="str">
        <f t="shared" si="75"/>
        <v>OK</v>
      </c>
      <c r="R983" t="str">
        <f t="shared" si="76"/>
        <v>BAD</v>
      </c>
      <c r="S983">
        <f t="shared" si="77"/>
        <v>0</v>
      </c>
      <c r="T983">
        <f t="shared" si="78"/>
        <v>1</v>
      </c>
      <c r="U983" t="str">
        <f t="shared" si="79"/>
        <v>DOCUMENTED</v>
      </c>
    </row>
    <row r="984" spans="1:21">
      <c r="A984" t="s">
        <v>996</v>
      </c>
      <c r="B984" t="s">
        <v>4888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 t="str">
        <f>IF((Sheet1[[#This Row],[Quantity]]*Sheet1[[#This Row],[UnitPrice]])=(Sheet1[[#This Row],[TotalPrice]]), "True", "False")</f>
        <v>True</v>
      </c>
      <c r="P984" t="str">
        <f>IF((Sheet1[[#This Row],[ItemsInCart]]&gt;=Sheet1[[#This Row],[Quantity]]), "Good", "Bad")</f>
        <v>Good</v>
      </c>
      <c r="Q984" t="str">
        <f t="shared" si="75"/>
        <v>OK</v>
      </c>
      <c r="R984" t="str">
        <f t="shared" si="76"/>
        <v>GOOD</v>
      </c>
      <c r="S984">
        <f t="shared" si="77"/>
        <v>0</v>
      </c>
      <c r="T984">
        <f t="shared" si="78"/>
        <v>0</v>
      </c>
      <c r="U984" t="str">
        <f t="shared" si="79"/>
        <v>OK</v>
      </c>
    </row>
    <row r="985" spans="1:21">
      <c r="A985" t="s">
        <v>997</v>
      </c>
      <c r="B985" t="s">
        <v>4450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 t="str">
        <f>IF((Sheet1[[#This Row],[Quantity]]*Sheet1[[#This Row],[UnitPrice]])=(Sheet1[[#This Row],[TotalPrice]]), "True", "False")</f>
        <v>True</v>
      </c>
      <c r="P985" t="str">
        <f>IF((Sheet1[[#This Row],[ItemsInCart]]&gt;=Sheet1[[#This Row],[Quantity]]), "Good", "Bad")</f>
        <v>Good</v>
      </c>
      <c r="Q985" t="str">
        <f t="shared" si="75"/>
        <v>OK</v>
      </c>
      <c r="R985" t="str">
        <f t="shared" si="76"/>
        <v>GOOD</v>
      </c>
      <c r="S985">
        <f t="shared" si="77"/>
        <v>0</v>
      </c>
      <c r="T985">
        <f t="shared" si="78"/>
        <v>0</v>
      </c>
      <c r="U985" t="str">
        <f t="shared" si="79"/>
        <v>OK</v>
      </c>
    </row>
    <row r="986" spans="1:21">
      <c r="A986" t="s">
        <v>998</v>
      </c>
      <c r="B986" t="s">
        <v>4535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 t="str">
        <f>IF((Sheet1[[#This Row],[Quantity]]*Sheet1[[#This Row],[UnitPrice]])=(Sheet1[[#This Row],[TotalPrice]]), "True", "False")</f>
        <v>True</v>
      </c>
      <c r="P986" t="str">
        <f>IF((Sheet1[[#This Row],[ItemsInCart]]&gt;=Sheet1[[#This Row],[Quantity]]), "Good", "Bad")</f>
        <v>Good</v>
      </c>
      <c r="Q986" t="str">
        <f t="shared" si="75"/>
        <v>OK</v>
      </c>
      <c r="R986" t="str">
        <f t="shared" si="76"/>
        <v>GOOD</v>
      </c>
      <c r="S986">
        <f t="shared" si="77"/>
        <v>0</v>
      </c>
      <c r="T986">
        <f t="shared" si="78"/>
        <v>0</v>
      </c>
      <c r="U986" t="str">
        <f t="shared" si="79"/>
        <v>OK</v>
      </c>
    </row>
    <row r="987" spans="1:21">
      <c r="A987" t="s">
        <v>999</v>
      </c>
      <c r="B987" t="s">
        <v>4634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 t="str">
        <f>IF((Sheet1[[#This Row],[Quantity]]*Sheet1[[#This Row],[UnitPrice]])=(Sheet1[[#This Row],[TotalPrice]]), "True", "False")</f>
        <v>True</v>
      </c>
      <c r="P987" t="str">
        <f>IF((Sheet1[[#This Row],[ItemsInCart]]&gt;=Sheet1[[#This Row],[Quantity]]), "Good", "Bad")</f>
        <v>Good</v>
      </c>
      <c r="Q987" t="str">
        <f t="shared" si="75"/>
        <v>OK</v>
      </c>
      <c r="R987" t="str">
        <f t="shared" si="76"/>
        <v>GOOD</v>
      </c>
      <c r="S987">
        <f t="shared" si="77"/>
        <v>0</v>
      </c>
      <c r="T987">
        <f t="shared" si="78"/>
        <v>0</v>
      </c>
      <c r="U987" t="str">
        <f t="shared" si="79"/>
        <v>OK</v>
      </c>
    </row>
    <row r="988" spans="1:21">
      <c r="A988" t="s">
        <v>1000</v>
      </c>
      <c r="B988" t="s">
        <v>4892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 t="str">
        <f>IF((Sheet1[[#This Row],[Quantity]]*Sheet1[[#This Row],[UnitPrice]])=(Sheet1[[#This Row],[TotalPrice]]), "True", "False")</f>
        <v>True</v>
      </c>
      <c r="P988" t="str">
        <f>IF((Sheet1[[#This Row],[ItemsInCart]]&gt;=Sheet1[[#This Row],[Quantity]]), "Good", "Bad")</f>
        <v>Good</v>
      </c>
      <c r="Q988" t="str">
        <f t="shared" si="75"/>
        <v>OK</v>
      </c>
      <c r="R988" t="str">
        <f t="shared" si="76"/>
        <v>BAD</v>
      </c>
      <c r="S988">
        <f t="shared" si="77"/>
        <v>0</v>
      </c>
      <c r="T988">
        <f t="shared" si="78"/>
        <v>1</v>
      </c>
      <c r="U988" t="str">
        <f t="shared" si="79"/>
        <v>DOCUMENTED</v>
      </c>
    </row>
    <row r="989" spans="1:21">
      <c r="A989" t="s">
        <v>1001</v>
      </c>
      <c r="B989" t="s">
        <v>4368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 t="str">
        <f>IF((Sheet1[[#This Row],[Quantity]]*Sheet1[[#This Row],[UnitPrice]])=(Sheet1[[#This Row],[TotalPrice]]), "True", "False")</f>
        <v>True</v>
      </c>
      <c r="P989" t="str">
        <f>IF((Sheet1[[#This Row],[ItemsInCart]]&gt;=Sheet1[[#This Row],[Quantity]]), "Good", "Bad")</f>
        <v>Good</v>
      </c>
      <c r="Q989" t="str">
        <f t="shared" si="75"/>
        <v>OK</v>
      </c>
      <c r="R989" t="str">
        <f t="shared" si="76"/>
        <v>BAD</v>
      </c>
      <c r="S989">
        <f t="shared" si="77"/>
        <v>0</v>
      </c>
      <c r="T989">
        <f t="shared" si="78"/>
        <v>1</v>
      </c>
      <c r="U989" t="str">
        <f t="shared" si="79"/>
        <v>DOCUMENTED</v>
      </c>
    </row>
    <row r="990" spans="1:21">
      <c r="A990" t="s">
        <v>1002</v>
      </c>
      <c r="B990" t="s">
        <v>4779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 t="str">
        <f>IF((Sheet1[[#This Row],[Quantity]]*Sheet1[[#This Row],[UnitPrice]])=(Sheet1[[#This Row],[TotalPrice]]), "True", "False")</f>
        <v>True</v>
      </c>
      <c r="P990" t="str">
        <f>IF((Sheet1[[#This Row],[ItemsInCart]]&gt;=Sheet1[[#This Row],[Quantity]]), "Good", "Bad")</f>
        <v>Good</v>
      </c>
      <c r="Q990" t="str">
        <f t="shared" si="75"/>
        <v>OK</v>
      </c>
      <c r="R990" t="str">
        <f t="shared" si="76"/>
        <v>BAD</v>
      </c>
      <c r="S990">
        <f t="shared" si="77"/>
        <v>0</v>
      </c>
      <c r="T990">
        <f t="shared" si="78"/>
        <v>1</v>
      </c>
      <c r="U990" t="str">
        <f t="shared" si="79"/>
        <v>REVIEW_RETURN</v>
      </c>
    </row>
    <row r="991" spans="1:21">
      <c r="A991" t="s">
        <v>1003</v>
      </c>
      <c r="B991" t="s">
        <v>4896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 t="str">
        <f>IF((Sheet1[[#This Row],[Quantity]]*Sheet1[[#This Row],[UnitPrice]])=(Sheet1[[#This Row],[TotalPrice]]), "True", "False")</f>
        <v>True</v>
      </c>
      <c r="P991" t="str">
        <f>IF((Sheet1[[#This Row],[ItemsInCart]]&gt;=Sheet1[[#This Row],[Quantity]]), "Good", "Bad")</f>
        <v>Good</v>
      </c>
      <c r="Q991" t="str">
        <f t="shared" si="75"/>
        <v>OK</v>
      </c>
      <c r="R991" t="str">
        <f t="shared" si="76"/>
        <v>BAD</v>
      </c>
      <c r="S991">
        <f t="shared" si="77"/>
        <v>0</v>
      </c>
      <c r="T991">
        <f t="shared" si="78"/>
        <v>1</v>
      </c>
      <c r="U991" t="str">
        <f t="shared" si="79"/>
        <v>DOCUMENTED</v>
      </c>
    </row>
    <row r="992" spans="1:21">
      <c r="A992" t="s">
        <v>1004</v>
      </c>
      <c r="B992" t="s">
        <v>4897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 t="str">
        <f>IF((Sheet1[[#This Row],[Quantity]]*Sheet1[[#This Row],[UnitPrice]])=(Sheet1[[#This Row],[TotalPrice]]), "True", "False")</f>
        <v>True</v>
      </c>
      <c r="P992" t="str">
        <f>IF((Sheet1[[#This Row],[ItemsInCart]]&gt;=Sheet1[[#This Row],[Quantity]]), "Good", "Bad")</f>
        <v>Good</v>
      </c>
      <c r="Q992" t="str">
        <f t="shared" si="75"/>
        <v>OK</v>
      </c>
      <c r="R992" t="str">
        <f t="shared" si="76"/>
        <v>BAD</v>
      </c>
      <c r="S992">
        <f t="shared" si="77"/>
        <v>0</v>
      </c>
      <c r="T992">
        <f t="shared" si="78"/>
        <v>1</v>
      </c>
      <c r="U992" t="str">
        <f t="shared" si="79"/>
        <v>DOCUMENTED</v>
      </c>
    </row>
    <row r="993" spans="1:21">
      <c r="A993" t="s">
        <v>1005</v>
      </c>
      <c r="B993" t="s">
        <v>4876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 t="str">
        <f>IF((Sheet1[[#This Row],[Quantity]]*Sheet1[[#This Row],[UnitPrice]])=(Sheet1[[#This Row],[TotalPrice]]), "True", "False")</f>
        <v>True</v>
      </c>
      <c r="P993" t="str">
        <f>IF((Sheet1[[#This Row],[ItemsInCart]]&gt;=Sheet1[[#This Row],[Quantity]]), "Good", "Bad")</f>
        <v>Good</v>
      </c>
      <c r="Q993" t="str">
        <f t="shared" si="75"/>
        <v>OK</v>
      </c>
      <c r="R993" t="str">
        <f t="shared" si="76"/>
        <v>BAD</v>
      </c>
      <c r="S993">
        <f t="shared" si="77"/>
        <v>0</v>
      </c>
      <c r="T993">
        <f t="shared" si="78"/>
        <v>1</v>
      </c>
      <c r="U993" t="str">
        <f t="shared" si="79"/>
        <v>REVIEW_RETURN</v>
      </c>
    </row>
    <row r="994" spans="1:21">
      <c r="A994" t="s">
        <v>1006</v>
      </c>
      <c r="B994" t="s">
        <v>4898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 t="str">
        <f>IF((Sheet1[[#This Row],[Quantity]]*Sheet1[[#This Row],[UnitPrice]])=(Sheet1[[#This Row],[TotalPrice]]), "True", "False")</f>
        <v>True</v>
      </c>
      <c r="P994" t="str">
        <f>IF((Sheet1[[#This Row],[ItemsInCart]]&gt;=Sheet1[[#This Row],[Quantity]]), "Good", "Bad")</f>
        <v>Good</v>
      </c>
      <c r="Q994" t="str">
        <f t="shared" si="75"/>
        <v>OK</v>
      </c>
      <c r="R994" t="str">
        <f t="shared" si="76"/>
        <v>BAD</v>
      </c>
      <c r="S994">
        <f t="shared" si="77"/>
        <v>0</v>
      </c>
      <c r="T994">
        <f t="shared" si="78"/>
        <v>1</v>
      </c>
      <c r="U994" t="str">
        <f t="shared" si="79"/>
        <v>DOCUMENTED</v>
      </c>
    </row>
    <row r="995" spans="1:21">
      <c r="A995" t="s">
        <v>1007</v>
      </c>
      <c r="B995" t="s">
        <v>4899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 t="str">
        <f>IF((Sheet1[[#This Row],[Quantity]]*Sheet1[[#This Row],[UnitPrice]])=(Sheet1[[#This Row],[TotalPrice]]), "True", "False")</f>
        <v>True</v>
      </c>
      <c r="P995" t="str">
        <f>IF((Sheet1[[#This Row],[ItemsInCart]]&gt;=Sheet1[[#This Row],[Quantity]]), "Good", "Bad")</f>
        <v>Good</v>
      </c>
      <c r="Q995" t="str">
        <f t="shared" si="75"/>
        <v>OK</v>
      </c>
      <c r="R995" t="str">
        <f t="shared" si="76"/>
        <v>GOOD</v>
      </c>
      <c r="S995">
        <f t="shared" si="77"/>
        <v>0</v>
      </c>
      <c r="T995">
        <f t="shared" si="78"/>
        <v>0</v>
      </c>
      <c r="U995" t="str">
        <f t="shared" si="79"/>
        <v>OK</v>
      </c>
    </row>
    <row r="996" spans="1:21">
      <c r="A996" t="s">
        <v>1008</v>
      </c>
      <c r="B996" t="s">
        <v>4609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 t="str">
        <f>IF((Sheet1[[#This Row],[Quantity]]*Sheet1[[#This Row],[UnitPrice]])=(Sheet1[[#This Row],[TotalPrice]]), "True", "False")</f>
        <v>True</v>
      </c>
      <c r="P996" t="str">
        <f>IF((Sheet1[[#This Row],[ItemsInCart]]&gt;=Sheet1[[#This Row],[Quantity]]), "Good", "Bad")</f>
        <v>Good</v>
      </c>
      <c r="Q996" t="str">
        <f t="shared" si="75"/>
        <v>OK</v>
      </c>
      <c r="R996" t="str">
        <f t="shared" si="76"/>
        <v>GOOD</v>
      </c>
      <c r="S996">
        <f t="shared" si="77"/>
        <v>0</v>
      </c>
      <c r="T996">
        <f t="shared" si="78"/>
        <v>0</v>
      </c>
      <c r="U996" t="str">
        <f t="shared" si="79"/>
        <v>OK</v>
      </c>
    </row>
    <row r="997" spans="1:21">
      <c r="A997" t="s">
        <v>1009</v>
      </c>
      <c r="B997" t="s">
        <v>4417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 t="str">
        <f>IF((Sheet1[[#This Row],[Quantity]]*Sheet1[[#This Row],[UnitPrice]])=(Sheet1[[#This Row],[TotalPrice]]), "True", "False")</f>
        <v>True</v>
      </c>
      <c r="P997" t="str">
        <f>IF((Sheet1[[#This Row],[ItemsInCart]]&gt;=Sheet1[[#This Row],[Quantity]]), "Good", "Bad")</f>
        <v>Good</v>
      </c>
      <c r="Q997" t="str">
        <f t="shared" si="75"/>
        <v>OK</v>
      </c>
      <c r="R997" t="str">
        <f t="shared" si="76"/>
        <v>BAD</v>
      </c>
      <c r="S997">
        <f t="shared" si="77"/>
        <v>0</v>
      </c>
      <c r="T997">
        <f t="shared" si="78"/>
        <v>1</v>
      </c>
      <c r="U997" t="str">
        <f t="shared" si="79"/>
        <v>DOCUMENTED</v>
      </c>
    </row>
    <row r="998" spans="1:21">
      <c r="A998" t="s">
        <v>1010</v>
      </c>
      <c r="B998" t="s">
        <v>4861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 t="str">
        <f>IF((Sheet1[[#This Row],[Quantity]]*Sheet1[[#This Row],[UnitPrice]])=(Sheet1[[#This Row],[TotalPrice]]), "True", "False")</f>
        <v>True</v>
      </c>
      <c r="P998" t="str">
        <f>IF((Sheet1[[#This Row],[ItemsInCart]]&gt;=Sheet1[[#This Row],[Quantity]]), "Good", "Bad")</f>
        <v>Good</v>
      </c>
      <c r="Q998" t="str">
        <f t="shared" si="75"/>
        <v>OK</v>
      </c>
      <c r="R998" t="str">
        <f t="shared" si="76"/>
        <v>GOOD</v>
      </c>
      <c r="S998">
        <f t="shared" si="77"/>
        <v>0</v>
      </c>
      <c r="T998">
        <f t="shared" si="78"/>
        <v>0</v>
      </c>
      <c r="U998" t="str">
        <f t="shared" si="79"/>
        <v>OK</v>
      </c>
    </row>
    <row r="999" spans="1:21">
      <c r="A999" t="s">
        <v>1011</v>
      </c>
      <c r="B999" t="s">
        <v>4393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 t="str">
        <f>IF((Sheet1[[#This Row],[Quantity]]*Sheet1[[#This Row],[UnitPrice]])=(Sheet1[[#This Row],[TotalPrice]]), "True", "False")</f>
        <v>True</v>
      </c>
      <c r="P999" t="str">
        <f>IF((Sheet1[[#This Row],[ItemsInCart]]&gt;=Sheet1[[#This Row],[Quantity]]), "Good", "Bad")</f>
        <v>Good</v>
      </c>
      <c r="Q999" t="str">
        <f t="shared" si="75"/>
        <v>OK</v>
      </c>
      <c r="R999" t="str">
        <f t="shared" si="76"/>
        <v>GOOD</v>
      </c>
      <c r="S999">
        <f t="shared" si="77"/>
        <v>0</v>
      </c>
      <c r="T999">
        <f t="shared" si="78"/>
        <v>0</v>
      </c>
      <c r="U999" t="str">
        <f t="shared" si="79"/>
        <v>OK</v>
      </c>
    </row>
    <row r="1000" spans="1:21">
      <c r="A1000" t="s">
        <v>1012</v>
      </c>
      <c r="B1000" t="s">
        <v>4496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 t="str">
        <f>IF((Sheet1[[#This Row],[Quantity]]*Sheet1[[#This Row],[UnitPrice]])=(Sheet1[[#This Row],[TotalPrice]]), "True", "False")</f>
        <v>True</v>
      </c>
      <c r="P1000" t="str">
        <f>IF((Sheet1[[#This Row],[ItemsInCart]]&gt;=Sheet1[[#This Row],[Quantity]]), "Good", "Bad")</f>
        <v>Good</v>
      </c>
      <c r="Q1000" t="str">
        <f t="shared" si="75"/>
        <v>OK</v>
      </c>
      <c r="R1000" t="str">
        <f t="shared" si="76"/>
        <v>BAD</v>
      </c>
      <c r="S1000">
        <f t="shared" si="77"/>
        <v>0</v>
      </c>
      <c r="T1000">
        <f t="shared" si="78"/>
        <v>1</v>
      </c>
      <c r="U1000" t="str">
        <f t="shared" si="79"/>
        <v>REVIEW_RETURN</v>
      </c>
    </row>
    <row r="1001" spans="1:21">
      <c r="A1001" t="s">
        <v>1013</v>
      </c>
      <c r="B1001" t="s">
        <v>4761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 t="str">
        <f>IF((Sheet1[[#This Row],[Quantity]]*Sheet1[[#This Row],[UnitPrice]])=(Sheet1[[#This Row],[TotalPrice]]), "True", "False")</f>
        <v>True</v>
      </c>
      <c r="P1001" t="str">
        <f>IF((Sheet1[[#This Row],[ItemsInCart]]&gt;=Sheet1[[#This Row],[Quantity]]), "Good", "Bad")</f>
        <v>Good</v>
      </c>
      <c r="Q1001" t="str">
        <f t="shared" si="75"/>
        <v>OK</v>
      </c>
      <c r="R1001" t="str">
        <f t="shared" si="76"/>
        <v>BAD</v>
      </c>
      <c r="S1001">
        <f t="shared" si="77"/>
        <v>0</v>
      </c>
      <c r="T1001">
        <f t="shared" si="78"/>
        <v>1</v>
      </c>
      <c r="U1001" t="str">
        <f t="shared" si="79"/>
        <v>DOCUMENTED</v>
      </c>
    </row>
    <row r="1002" spans="1:21">
      <c r="A1002" t="s">
        <v>1014</v>
      </c>
      <c r="B1002" t="s">
        <v>4900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 t="str">
        <f>IF((Sheet1[[#This Row],[Quantity]]*Sheet1[[#This Row],[UnitPrice]])=(Sheet1[[#This Row],[TotalPrice]]), "True", "False")</f>
        <v>True</v>
      </c>
      <c r="P1002" t="str">
        <f>IF((Sheet1[[#This Row],[ItemsInCart]]&gt;=Sheet1[[#This Row],[Quantity]]), "Good", "Bad")</f>
        <v>Good</v>
      </c>
      <c r="Q1002" t="str">
        <f t="shared" si="75"/>
        <v>OK</v>
      </c>
      <c r="R1002" t="str">
        <f t="shared" si="76"/>
        <v>GOOD</v>
      </c>
      <c r="S1002">
        <f t="shared" si="77"/>
        <v>0</v>
      </c>
      <c r="T1002">
        <f t="shared" si="78"/>
        <v>0</v>
      </c>
      <c r="U1002" t="str">
        <f t="shared" si="79"/>
        <v>OK</v>
      </c>
    </row>
    <row r="1003" spans="1:21">
      <c r="A1003" t="s">
        <v>1015</v>
      </c>
      <c r="B1003" t="s">
        <v>4901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4961</v>
      </c>
      <c r="M1003" t="s">
        <v>4279</v>
      </c>
      <c r="N1003">
        <v>507.36</v>
      </c>
      <c r="O1003" t="str">
        <f>IF((Sheet1[[#This Row],[Quantity]]*Sheet1[[#This Row],[UnitPrice]])=(Sheet1[[#This Row],[TotalPrice]]), "True", "False")</f>
        <v>True</v>
      </c>
      <c r="P1003" t="str">
        <f>IF((Sheet1[[#This Row],[ItemsInCart]]&gt;=Sheet1[[#This Row],[Quantity]]), "Good", "Bad")</f>
        <v>Good</v>
      </c>
      <c r="Q1003" t="str">
        <f t="shared" si="75"/>
        <v>OK</v>
      </c>
      <c r="R1003" t="str">
        <f t="shared" si="76"/>
        <v>GOOD</v>
      </c>
      <c r="S1003">
        <f t="shared" si="77"/>
        <v>0</v>
      </c>
      <c r="T1003">
        <f t="shared" si="78"/>
        <v>0</v>
      </c>
      <c r="U1003" t="str">
        <f t="shared" si="79"/>
        <v>OK</v>
      </c>
    </row>
    <row r="1004" spans="1:21">
      <c r="A1004" t="s">
        <v>1016</v>
      </c>
      <c r="B1004" t="s">
        <v>4902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 t="str">
        <f>IF((Sheet1[[#This Row],[Quantity]]*Sheet1[[#This Row],[UnitPrice]])=(Sheet1[[#This Row],[TotalPrice]]), "True", "False")</f>
        <v>True</v>
      </c>
      <c r="P1004" t="str">
        <f>IF((Sheet1[[#This Row],[ItemsInCart]]&gt;=Sheet1[[#This Row],[Quantity]]), "Good", "Bad")</f>
        <v>Good</v>
      </c>
      <c r="Q1004" t="str">
        <f t="shared" si="75"/>
        <v>OK</v>
      </c>
      <c r="R1004" t="str">
        <f t="shared" si="76"/>
        <v>BAD</v>
      </c>
      <c r="S1004">
        <f t="shared" si="77"/>
        <v>0</v>
      </c>
      <c r="T1004">
        <f t="shared" si="78"/>
        <v>1</v>
      </c>
      <c r="U1004" t="str">
        <f t="shared" si="79"/>
        <v>DOCUMENTED</v>
      </c>
    </row>
    <row r="1005" spans="1:21">
      <c r="A1005" t="s">
        <v>1017</v>
      </c>
      <c r="B1005" t="s">
        <v>4631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 t="str">
        <f>IF((Sheet1[[#This Row],[Quantity]]*Sheet1[[#This Row],[UnitPrice]])=(Sheet1[[#This Row],[TotalPrice]]), "True", "False")</f>
        <v>True</v>
      </c>
      <c r="P1005" t="str">
        <f>IF((Sheet1[[#This Row],[ItemsInCart]]&gt;=Sheet1[[#This Row],[Quantity]]), "Good", "Bad")</f>
        <v>Good</v>
      </c>
      <c r="Q1005" t="str">
        <f t="shared" si="75"/>
        <v>OK</v>
      </c>
      <c r="R1005" t="str">
        <f t="shared" si="76"/>
        <v>GOOD</v>
      </c>
      <c r="S1005">
        <f t="shared" si="77"/>
        <v>0</v>
      </c>
      <c r="T1005">
        <f t="shared" si="78"/>
        <v>0</v>
      </c>
      <c r="U1005" t="str">
        <f t="shared" si="79"/>
        <v>OK</v>
      </c>
    </row>
    <row r="1006" spans="1:21">
      <c r="A1006" t="s">
        <v>1018</v>
      </c>
      <c r="B1006" t="s">
        <v>4842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 t="str">
        <f>IF((Sheet1[[#This Row],[Quantity]]*Sheet1[[#This Row],[UnitPrice]])=(Sheet1[[#This Row],[TotalPrice]]), "True", "False")</f>
        <v>True</v>
      </c>
      <c r="P1006" t="str">
        <f>IF((Sheet1[[#This Row],[ItemsInCart]]&gt;=Sheet1[[#This Row],[Quantity]]), "Good", "Bad")</f>
        <v>Good</v>
      </c>
      <c r="Q1006" t="str">
        <f t="shared" si="75"/>
        <v>OK</v>
      </c>
      <c r="R1006" t="str">
        <f t="shared" si="76"/>
        <v>BAD</v>
      </c>
      <c r="S1006">
        <f t="shared" si="77"/>
        <v>0</v>
      </c>
      <c r="T1006">
        <f t="shared" si="78"/>
        <v>1</v>
      </c>
      <c r="U1006" t="str">
        <f t="shared" si="79"/>
        <v>DOCUMENTED</v>
      </c>
    </row>
    <row r="1007" spans="1:21">
      <c r="A1007" t="s">
        <v>1019</v>
      </c>
      <c r="B1007" t="s">
        <v>4804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4961</v>
      </c>
      <c r="M1007" t="s">
        <v>4282</v>
      </c>
      <c r="N1007">
        <v>1178.55</v>
      </c>
      <c r="O1007" t="str">
        <f>IF((Sheet1[[#This Row],[Quantity]]*Sheet1[[#This Row],[UnitPrice]])=(Sheet1[[#This Row],[TotalPrice]]), "True", "False")</f>
        <v>True</v>
      </c>
      <c r="P1007" t="str">
        <f>IF((Sheet1[[#This Row],[ItemsInCart]]&gt;=Sheet1[[#This Row],[Quantity]]), "Good", "Bad")</f>
        <v>Good</v>
      </c>
      <c r="Q1007" t="str">
        <f t="shared" si="75"/>
        <v>OK</v>
      </c>
      <c r="R1007" t="str">
        <f t="shared" si="76"/>
        <v>GOOD</v>
      </c>
      <c r="S1007">
        <f t="shared" si="77"/>
        <v>0</v>
      </c>
      <c r="T1007">
        <f t="shared" si="78"/>
        <v>0</v>
      </c>
      <c r="U1007" t="str">
        <f t="shared" si="79"/>
        <v>OK</v>
      </c>
    </row>
    <row r="1008" spans="1:21">
      <c r="A1008" t="s">
        <v>1020</v>
      </c>
      <c r="B1008" t="s">
        <v>4865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 t="str">
        <f>IF((Sheet1[[#This Row],[Quantity]]*Sheet1[[#This Row],[UnitPrice]])=(Sheet1[[#This Row],[TotalPrice]]), "True", "False")</f>
        <v>True</v>
      </c>
      <c r="P1008" t="str">
        <f>IF((Sheet1[[#This Row],[ItemsInCart]]&gt;=Sheet1[[#This Row],[Quantity]]), "Good", "Bad")</f>
        <v>Good</v>
      </c>
      <c r="Q1008" t="str">
        <f t="shared" si="75"/>
        <v>OK</v>
      </c>
      <c r="R1008" t="str">
        <f t="shared" si="76"/>
        <v>GOOD</v>
      </c>
      <c r="S1008">
        <f t="shared" si="77"/>
        <v>0</v>
      </c>
      <c r="T1008">
        <f t="shared" si="78"/>
        <v>0</v>
      </c>
      <c r="U1008" t="str">
        <f t="shared" si="79"/>
        <v>OK</v>
      </c>
    </row>
    <row r="1009" spans="1:21">
      <c r="A1009" t="s">
        <v>1021</v>
      </c>
      <c r="B1009" t="s">
        <v>4874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 t="str">
        <f>IF((Sheet1[[#This Row],[Quantity]]*Sheet1[[#This Row],[UnitPrice]])=(Sheet1[[#This Row],[TotalPrice]]), "True", "False")</f>
        <v>True</v>
      </c>
      <c r="P1009" t="str">
        <f>IF((Sheet1[[#This Row],[ItemsInCart]]&gt;=Sheet1[[#This Row],[Quantity]]), "Good", "Bad")</f>
        <v>Good</v>
      </c>
      <c r="Q1009" t="str">
        <f t="shared" si="75"/>
        <v>OK</v>
      </c>
      <c r="R1009" t="str">
        <f t="shared" si="76"/>
        <v>BAD</v>
      </c>
      <c r="S1009">
        <f t="shared" si="77"/>
        <v>0</v>
      </c>
      <c r="T1009">
        <f t="shared" si="78"/>
        <v>1</v>
      </c>
      <c r="U1009" t="str">
        <f t="shared" si="79"/>
        <v>DOCUMENTED</v>
      </c>
    </row>
    <row r="1010" spans="1:21">
      <c r="A1010" t="s">
        <v>1022</v>
      </c>
      <c r="B1010" t="s">
        <v>4903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 t="str">
        <f>IF((Sheet1[[#This Row],[Quantity]]*Sheet1[[#This Row],[UnitPrice]])=(Sheet1[[#This Row],[TotalPrice]]), "True", "False")</f>
        <v>True</v>
      </c>
      <c r="P1010" t="str">
        <f>IF((Sheet1[[#This Row],[ItemsInCart]]&gt;=Sheet1[[#This Row],[Quantity]]), "Good", "Bad")</f>
        <v>Good</v>
      </c>
      <c r="Q1010" t="str">
        <f t="shared" si="75"/>
        <v>OK</v>
      </c>
      <c r="R1010" t="str">
        <f t="shared" si="76"/>
        <v>GOOD</v>
      </c>
      <c r="S1010">
        <f t="shared" si="77"/>
        <v>0</v>
      </c>
      <c r="T1010">
        <f t="shared" si="78"/>
        <v>0</v>
      </c>
      <c r="U1010" t="str">
        <f t="shared" si="79"/>
        <v>OK</v>
      </c>
    </row>
    <row r="1011" spans="1:21">
      <c r="A1011" t="s">
        <v>1023</v>
      </c>
      <c r="B1011" t="s">
        <v>4904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 t="str">
        <f>IF((Sheet1[[#This Row],[Quantity]]*Sheet1[[#This Row],[UnitPrice]])=(Sheet1[[#This Row],[TotalPrice]]), "True", "False")</f>
        <v>True</v>
      </c>
      <c r="P1011" t="str">
        <f>IF((Sheet1[[#This Row],[ItemsInCart]]&gt;=Sheet1[[#This Row],[Quantity]]), "Good", "Bad")</f>
        <v>Good</v>
      </c>
      <c r="Q1011" t="str">
        <f t="shared" si="75"/>
        <v>OK</v>
      </c>
      <c r="R1011" t="str">
        <f t="shared" si="76"/>
        <v>GOOD</v>
      </c>
      <c r="S1011">
        <f t="shared" si="77"/>
        <v>0</v>
      </c>
      <c r="T1011">
        <f t="shared" si="78"/>
        <v>0</v>
      </c>
      <c r="U1011" t="str">
        <f t="shared" si="79"/>
        <v>OK</v>
      </c>
    </row>
    <row r="1012" spans="1:21">
      <c r="A1012" t="s">
        <v>1024</v>
      </c>
      <c r="B1012" t="s">
        <v>4905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 t="str">
        <f>IF((Sheet1[[#This Row],[Quantity]]*Sheet1[[#This Row],[UnitPrice]])=(Sheet1[[#This Row],[TotalPrice]]), "True", "False")</f>
        <v>True</v>
      </c>
      <c r="P1012" t="str">
        <f>IF((Sheet1[[#This Row],[ItemsInCart]]&gt;=Sheet1[[#This Row],[Quantity]]), "Good", "Bad")</f>
        <v>Good</v>
      </c>
      <c r="Q1012" t="str">
        <f t="shared" si="75"/>
        <v>OK</v>
      </c>
      <c r="R1012" t="str">
        <f t="shared" si="76"/>
        <v>BAD</v>
      </c>
      <c r="S1012">
        <f t="shared" si="77"/>
        <v>0</v>
      </c>
      <c r="T1012">
        <f t="shared" si="78"/>
        <v>1</v>
      </c>
      <c r="U1012" t="str">
        <f t="shared" si="79"/>
        <v>REVIEW_RETURN</v>
      </c>
    </row>
    <row r="1013" spans="1:21">
      <c r="A1013" t="s">
        <v>1025</v>
      </c>
      <c r="B1013" t="s">
        <v>4906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4961</v>
      </c>
      <c r="M1013" t="s">
        <v>4282</v>
      </c>
      <c r="N1013">
        <v>956.72</v>
      </c>
      <c r="O1013" t="str">
        <f>IF((Sheet1[[#This Row],[Quantity]]*Sheet1[[#This Row],[UnitPrice]])=(Sheet1[[#This Row],[TotalPrice]]), "True", "False")</f>
        <v>True</v>
      </c>
      <c r="P1013" t="str">
        <f>IF((Sheet1[[#This Row],[ItemsInCart]]&gt;=Sheet1[[#This Row],[Quantity]]), "Good", "Bad")</f>
        <v>Good</v>
      </c>
      <c r="Q1013" t="str">
        <f t="shared" si="75"/>
        <v>OK</v>
      </c>
      <c r="R1013" t="str">
        <f t="shared" si="76"/>
        <v>GOOD</v>
      </c>
      <c r="S1013">
        <f t="shared" si="77"/>
        <v>0</v>
      </c>
      <c r="T1013">
        <f t="shared" si="78"/>
        <v>0</v>
      </c>
      <c r="U1013" t="str">
        <f t="shared" si="79"/>
        <v>OK</v>
      </c>
    </row>
    <row r="1014" spans="1:21">
      <c r="A1014" t="s">
        <v>1026</v>
      </c>
      <c r="B1014" t="s">
        <v>4906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4961</v>
      </c>
      <c r="M1014" t="s">
        <v>4281</v>
      </c>
      <c r="N1014">
        <v>120.2</v>
      </c>
      <c r="O1014" t="str">
        <f>IF((Sheet1[[#This Row],[Quantity]]*Sheet1[[#This Row],[UnitPrice]])=(Sheet1[[#This Row],[TotalPrice]]), "True", "False")</f>
        <v>True</v>
      </c>
      <c r="P1014" t="str">
        <f>IF((Sheet1[[#This Row],[ItemsInCart]]&gt;=Sheet1[[#This Row],[Quantity]]), "Good", "Bad")</f>
        <v>Good</v>
      </c>
      <c r="Q1014" t="str">
        <f t="shared" si="75"/>
        <v>OK</v>
      </c>
      <c r="R1014" t="str">
        <f t="shared" si="76"/>
        <v>GOOD</v>
      </c>
      <c r="S1014">
        <f t="shared" si="77"/>
        <v>0</v>
      </c>
      <c r="T1014">
        <f t="shared" si="78"/>
        <v>0</v>
      </c>
      <c r="U1014" t="str">
        <f t="shared" si="79"/>
        <v>OK</v>
      </c>
    </row>
    <row r="1015" spans="1:21">
      <c r="A1015" t="s">
        <v>1027</v>
      </c>
      <c r="B1015" t="s">
        <v>4907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 t="str">
        <f>IF((Sheet1[[#This Row],[Quantity]]*Sheet1[[#This Row],[UnitPrice]])=(Sheet1[[#This Row],[TotalPrice]]), "True", "False")</f>
        <v>True</v>
      </c>
      <c r="P1015" t="str">
        <f>IF((Sheet1[[#This Row],[ItemsInCart]]&gt;=Sheet1[[#This Row],[Quantity]]), "Good", "Bad")</f>
        <v>Good</v>
      </c>
      <c r="Q1015" t="str">
        <f t="shared" si="75"/>
        <v>OK</v>
      </c>
      <c r="R1015" t="str">
        <f t="shared" si="76"/>
        <v>BAD</v>
      </c>
      <c r="S1015">
        <f t="shared" si="77"/>
        <v>0</v>
      </c>
      <c r="T1015">
        <f t="shared" si="78"/>
        <v>1</v>
      </c>
      <c r="U1015" t="str">
        <f t="shared" si="79"/>
        <v>REVIEW_RETURN</v>
      </c>
    </row>
    <row r="1016" spans="1:21">
      <c r="A1016" t="s">
        <v>1028</v>
      </c>
      <c r="B1016" t="s">
        <v>4672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 t="str">
        <f>IF((Sheet1[[#This Row],[Quantity]]*Sheet1[[#This Row],[UnitPrice]])=(Sheet1[[#This Row],[TotalPrice]]), "True", "False")</f>
        <v>True</v>
      </c>
      <c r="P1016" t="str">
        <f>IF((Sheet1[[#This Row],[ItemsInCart]]&gt;=Sheet1[[#This Row],[Quantity]]), "Good", "Bad")</f>
        <v>Good</v>
      </c>
      <c r="Q1016" t="str">
        <f t="shared" si="75"/>
        <v>OK</v>
      </c>
      <c r="R1016" t="str">
        <f t="shared" si="76"/>
        <v>GOOD</v>
      </c>
      <c r="S1016">
        <f t="shared" si="77"/>
        <v>0</v>
      </c>
      <c r="T1016">
        <f t="shared" si="78"/>
        <v>0</v>
      </c>
      <c r="U1016" t="str">
        <f t="shared" si="79"/>
        <v>OK</v>
      </c>
    </row>
    <row r="1017" spans="1:21">
      <c r="A1017" t="s">
        <v>1029</v>
      </c>
      <c r="B1017" t="s">
        <v>4830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 t="str">
        <f>IF((Sheet1[[#This Row],[Quantity]]*Sheet1[[#This Row],[UnitPrice]])=(Sheet1[[#This Row],[TotalPrice]]), "True", "False")</f>
        <v>True</v>
      </c>
      <c r="P1017" t="str">
        <f>IF((Sheet1[[#This Row],[ItemsInCart]]&gt;=Sheet1[[#This Row],[Quantity]]), "Good", "Bad")</f>
        <v>Good</v>
      </c>
      <c r="Q1017" t="str">
        <f t="shared" si="75"/>
        <v>OK</v>
      </c>
      <c r="R1017" t="str">
        <f t="shared" si="76"/>
        <v>GOOD</v>
      </c>
      <c r="S1017">
        <f t="shared" si="77"/>
        <v>0</v>
      </c>
      <c r="T1017">
        <f t="shared" si="78"/>
        <v>0</v>
      </c>
      <c r="U1017" t="str">
        <f t="shared" si="79"/>
        <v>OK</v>
      </c>
    </row>
    <row r="1018" spans="1:21">
      <c r="A1018" t="s">
        <v>1030</v>
      </c>
      <c r="B1018" t="s">
        <v>4293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 t="str">
        <f>IF((Sheet1[[#This Row],[Quantity]]*Sheet1[[#This Row],[UnitPrice]])=(Sheet1[[#This Row],[TotalPrice]]), "True", "False")</f>
        <v>True</v>
      </c>
      <c r="P1018" t="str">
        <f>IF((Sheet1[[#This Row],[ItemsInCart]]&gt;=Sheet1[[#This Row],[Quantity]]), "Good", "Bad")</f>
        <v>Good</v>
      </c>
      <c r="Q1018" t="str">
        <f t="shared" si="75"/>
        <v>OK</v>
      </c>
      <c r="R1018" t="str">
        <f t="shared" si="76"/>
        <v>GOOD</v>
      </c>
      <c r="S1018">
        <f t="shared" si="77"/>
        <v>0</v>
      </c>
      <c r="T1018">
        <f t="shared" si="78"/>
        <v>0</v>
      </c>
      <c r="U1018" t="str">
        <f t="shared" si="79"/>
        <v>OK</v>
      </c>
    </row>
    <row r="1019" spans="1:21">
      <c r="A1019" t="s">
        <v>1031</v>
      </c>
      <c r="B1019" t="s">
        <v>4908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 t="str">
        <f>IF((Sheet1[[#This Row],[Quantity]]*Sheet1[[#This Row],[UnitPrice]])=(Sheet1[[#This Row],[TotalPrice]]), "True", "False")</f>
        <v>True</v>
      </c>
      <c r="P1019" t="str">
        <f>IF((Sheet1[[#This Row],[ItemsInCart]]&gt;=Sheet1[[#This Row],[Quantity]]), "Good", "Bad")</f>
        <v>Good</v>
      </c>
      <c r="Q1019" t="str">
        <f t="shared" si="75"/>
        <v>OK</v>
      </c>
      <c r="R1019" t="str">
        <f t="shared" si="76"/>
        <v>GOOD</v>
      </c>
      <c r="S1019">
        <f t="shared" si="77"/>
        <v>0</v>
      </c>
      <c r="T1019">
        <f t="shared" si="78"/>
        <v>0</v>
      </c>
      <c r="U1019" t="str">
        <f t="shared" si="79"/>
        <v>OK</v>
      </c>
    </row>
    <row r="1020" spans="1:21">
      <c r="A1020" t="s">
        <v>1032</v>
      </c>
      <c r="B1020" t="s">
        <v>4590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4961</v>
      </c>
      <c r="M1020" t="s">
        <v>4278</v>
      </c>
      <c r="N1020">
        <v>547.43999999999994</v>
      </c>
      <c r="O1020" t="str">
        <f>IF((Sheet1[[#This Row],[Quantity]]*Sheet1[[#This Row],[UnitPrice]])=(Sheet1[[#This Row],[TotalPrice]]), "True", "False")</f>
        <v>True</v>
      </c>
      <c r="P1020" t="str">
        <f>IF((Sheet1[[#This Row],[ItemsInCart]]&gt;=Sheet1[[#This Row],[Quantity]]), "Good", "Bad")</f>
        <v>Good</v>
      </c>
      <c r="Q1020" t="str">
        <f t="shared" si="75"/>
        <v>OK</v>
      </c>
      <c r="R1020" t="str">
        <f t="shared" si="76"/>
        <v>GOOD</v>
      </c>
      <c r="S1020">
        <f t="shared" si="77"/>
        <v>0</v>
      </c>
      <c r="T1020">
        <f t="shared" si="78"/>
        <v>0</v>
      </c>
      <c r="U1020" t="str">
        <f t="shared" si="79"/>
        <v>OK</v>
      </c>
    </row>
    <row r="1021" spans="1:21">
      <c r="A1021" t="s">
        <v>1033</v>
      </c>
      <c r="B1021" t="s">
        <v>4899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 t="str">
        <f>IF((Sheet1[[#This Row],[Quantity]]*Sheet1[[#This Row],[UnitPrice]])=(Sheet1[[#This Row],[TotalPrice]]), "True", "False")</f>
        <v>True</v>
      </c>
      <c r="P1021" t="str">
        <f>IF((Sheet1[[#This Row],[ItemsInCart]]&gt;=Sheet1[[#This Row],[Quantity]]), "Good", "Bad")</f>
        <v>Good</v>
      </c>
      <c r="Q1021" t="str">
        <f t="shared" si="75"/>
        <v>OK</v>
      </c>
      <c r="R1021" t="str">
        <f t="shared" si="76"/>
        <v>GOOD</v>
      </c>
      <c r="S1021">
        <f t="shared" si="77"/>
        <v>0</v>
      </c>
      <c r="T1021">
        <f t="shared" si="78"/>
        <v>0</v>
      </c>
      <c r="U1021" t="str">
        <f t="shared" si="79"/>
        <v>OK</v>
      </c>
    </row>
    <row r="1022" spans="1:21">
      <c r="A1022" t="s">
        <v>1034</v>
      </c>
      <c r="B1022" t="s">
        <v>4464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 t="str">
        <f>IF((Sheet1[[#This Row],[Quantity]]*Sheet1[[#This Row],[UnitPrice]])=(Sheet1[[#This Row],[TotalPrice]]), "True", "False")</f>
        <v>True</v>
      </c>
      <c r="P1022" t="str">
        <f>IF((Sheet1[[#This Row],[ItemsInCart]]&gt;=Sheet1[[#This Row],[Quantity]]), "Good", "Bad")</f>
        <v>Good</v>
      </c>
      <c r="Q1022" t="str">
        <f t="shared" si="75"/>
        <v>OK</v>
      </c>
      <c r="R1022" t="str">
        <f t="shared" si="76"/>
        <v>GOOD</v>
      </c>
      <c r="S1022">
        <f t="shared" si="77"/>
        <v>0</v>
      </c>
      <c r="T1022">
        <f t="shared" si="78"/>
        <v>0</v>
      </c>
      <c r="U1022" t="str">
        <f t="shared" si="79"/>
        <v>OK</v>
      </c>
    </row>
    <row r="1023" spans="1:21">
      <c r="A1023" t="s">
        <v>1035</v>
      </c>
      <c r="B1023" t="s">
        <v>4288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 t="str">
        <f>IF((Sheet1[[#This Row],[Quantity]]*Sheet1[[#This Row],[UnitPrice]])=(Sheet1[[#This Row],[TotalPrice]]), "True", "False")</f>
        <v>True</v>
      </c>
      <c r="P1023" t="str">
        <f>IF((Sheet1[[#This Row],[ItemsInCart]]&gt;=Sheet1[[#This Row],[Quantity]]), "Good", "Bad")</f>
        <v>Good</v>
      </c>
      <c r="Q1023" t="str">
        <f t="shared" si="75"/>
        <v>OK</v>
      </c>
      <c r="R1023" t="str">
        <f t="shared" si="76"/>
        <v>BAD</v>
      </c>
      <c r="S1023">
        <f t="shared" si="77"/>
        <v>0</v>
      </c>
      <c r="T1023">
        <f t="shared" si="78"/>
        <v>1</v>
      </c>
      <c r="U1023" t="str">
        <f t="shared" si="79"/>
        <v>REVIEW_RETURN</v>
      </c>
    </row>
    <row r="1024" spans="1:21">
      <c r="A1024" t="s">
        <v>1036</v>
      </c>
      <c r="B1024" t="s">
        <v>4805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 t="str">
        <f>IF((Sheet1[[#This Row],[Quantity]]*Sheet1[[#This Row],[UnitPrice]])=(Sheet1[[#This Row],[TotalPrice]]), "True", "False")</f>
        <v>True</v>
      </c>
      <c r="P1024" t="str">
        <f>IF((Sheet1[[#This Row],[ItemsInCart]]&gt;=Sheet1[[#This Row],[Quantity]]), "Good", "Bad")</f>
        <v>Good</v>
      </c>
      <c r="Q1024" t="str">
        <f t="shared" si="75"/>
        <v>OK</v>
      </c>
      <c r="R1024" t="str">
        <f t="shared" si="76"/>
        <v>GOOD</v>
      </c>
      <c r="S1024">
        <f t="shared" si="77"/>
        <v>0</v>
      </c>
      <c r="T1024">
        <f t="shared" si="78"/>
        <v>0</v>
      </c>
      <c r="U1024" t="str">
        <f t="shared" si="79"/>
        <v>OK</v>
      </c>
    </row>
    <row r="1025" spans="1:21">
      <c r="A1025" t="s">
        <v>1037</v>
      </c>
      <c r="B1025" t="s">
        <v>4579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4961</v>
      </c>
      <c r="M1025" t="s">
        <v>4279</v>
      </c>
      <c r="N1025">
        <v>1168.3499999999999</v>
      </c>
      <c r="O1025" t="str">
        <f>IF((Sheet1[[#This Row],[Quantity]]*Sheet1[[#This Row],[UnitPrice]])=(Sheet1[[#This Row],[TotalPrice]]), "True", "False")</f>
        <v>True</v>
      </c>
      <c r="P1025" t="str">
        <f>IF((Sheet1[[#This Row],[ItemsInCart]]&gt;=Sheet1[[#This Row],[Quantity]]), "Good", "Bad")</f>
        <v>Good</v>
      </c>
      <c r="Q1025" t="str">
        <f t="shared" si="75"/>
        <v>OK</v>
      </c>
      <c r="R1025" t="str">
        <f t="shared" si="76"/>
        <v>GOOD</v>
      </c>
      <c r="S1025">
        <f t="shared" si="77"/>
        <v>0</v>
      </c>
      <c r="T1025">
        <f t="shared" si="78"/>
        <v>0</v>
      </c>
      <c r="U1025" t="str">
        <f t="shared" si="79"/>
        <v>OK</v>
      </c>
    </row>
    <row r="1026" spans="1:21">
      <c r="A1026" t="s">
        <v>1038</v>
      </c>
      <c r="B1026" t="s">
        <v>4695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 t="str">
        <f>IF((Sheet1[[#This Row],[Quantity]]*Sheet1[[#This Row],[UnitPrice]])=(Sheet1[[#This Row],[TotalPrice]]), "True", "False")</f>
        <v>True</v>
      </c>
      <c r="P1026" t="str">
        <f>IF((Sheet1[[#This Row],[ItemsInCart]]&gt;=Sheet1[[#This Row],[Quantity]]), "Good", "Bad")</f>
        <v>Good</v>
      </c>
      <c r="Q1026" t="str">
        <f t="shared" ref="Q1026:Q1089" si="80">IF(AND(E1026&gt;0, F1026&gt;0,N1026&gt;0),"OK","INVALID")</f>
        <v>OK</v>
      </c>
      <c r="R1026" t="str">
        <f t="shared" ref="R1026:R1089" si="81">IF(OR(AND(OR(I1026="Shipped",I1026="Delivered",I1026="Returned"),J1026=""),AND(OR(I1026="Processing",I1026="Pending",I1026="Cancelled"),J1026&lt;&gt;"")),"BAD","GOOD")</f>
        <v>BAD</v>
      </c>
      <c r="S1026">
        <f t="shared" ref="S1026:S1089" si="82">IF(AND(OR(I1026="Shipped",I1026="Delivered",I1026="Returned"),J1026=""),1,0)</f>
        <v>0</v>
      </c>
      <c r="T1026">
        <f t="shared" ref="T1026:T1089" si="83">IF(AND(OR(I1026="Processing",I1026="Pending",I1026="Cancelled"),J1026&lt;&gt;""),1,0)</f>
        <v>1</v>
      </c>
      <c r="U1026" t="str">
        <f t="shared" ref="U1026:U1089" si="84">IF(AND(OR(I1026="Shipped",I1026="Delivered"),J1026=""),"MISSING_TRACKING", IF(AND(OR(I1026="Processing",I1026="Pending"),J1026&lt;&gt;""),"DOCUMENTED", IF(AND(I1026="Cancelled",J1026&lt;&gt;""), "REVIEW_RETURN", "OK")))</f>
        <v>DOCUMENTED</v>
      </c>
    </row>
    <row r="1027" spans="1:21">
      <c r="A1027" t="s">
        <v>1039</v>
      </c>
      <c r="B1027" t="s">
        <v>4554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 t="str">
        <f>IF((Sheet1[[#This Row],[Quantity]]*Sheet1[[#This Row],[UnitPrice]])=(Sheet1[[#This Row],[TotalPrice]]), "True", "False")</f>
        <v>True</v>
      </c>
      <c r="P1027" t="str">
        <f>IF((Sheet1[[#This Row],[ItemsInCart]]&gt;=Sheet1[[#This Row],[Quantity]]), "Good", "Bad")</f>
        <v>Good</v>
      </c>
      <c r="Q1027" t="str">
        <f t="shared" si="80"/>
        <v>OK</v>
      </c>
      <c r="R1027" t="str">
        <f t="shared" si="81"/>
        <v>GOOD</v>
      </c>
      <c r="S1027">
        <f t="shared" si="82"/>
        <v>0</v>
      </c>
      <c r="T1027">
        <f t="shared" si="83"/>
        <v>0</v>
      </c>
      <c r="U1027" t="str">
        <f t="shared" si="84"/>
        <v>OK</v>
      </c>
    </row>
    <row r="1028" spans="1:21">
      <c r="A1028" t="s">
        <v>1040</v>
      </c>
      <c r="B1028" t="s">
        <v>4314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 t="str">
        <f>IF((Sheet1[[#This Row],[Quantity]]*Sheet1[[#This Row],[UnitPrice]])=(Sheet1[[#This Row],[TotalPrice]]), "True", "False")</f>
        <v>True</v>
      </c>
      <c r="P1028" t="str">
        <f>IF((Sheet1[[#This Row],[ItemsInCart]]&gt;=Sheet1[[#This Row],[Quantity]]), "Good", "Bad")</f>
        <v>Good</v>
      </c>
      <c r="Q1028" t="str">
        <f t="shared" si="80"/>
        <v>OK</v>
      </c>
      <c r="R1028" t="str">
        <f t="shared" si="81"/>
        <v>GOOD</v>
      </c>
      <c r="S1028">
        <f t="shared" si="82"/>
        <v>0</v>
      </c>
      <c r="T1028">
        <f t="shared" si="83"/>
        <v>0</v>
      </c>
      <c r="U1028" t="str">
        <f t="shared" si="84"/>
        <v>OK</v>
      </c>
    </row>
    <row r="1029" spans="1:21">
      <c r="A1029" t="s">
        <v>1041</v>
      </c>
      <c r="B1029" t="s">
        <v>4909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4961</v>
      </c>
      <c r="M1029" t="s">
        <v>4282</v>
      </c>
      <c r="N1029">
        <v>2219.3200000000002</v>
      </c>
      <c r="O1029" t="str">
        <f>IF((Sheet1[[#This Row],[Quantity]]*Sheet1[[#This Row],[UnitPrice]])=(Sheet1[[#This Row],[TotalPrice]]), "True", "False")</f>
        <v>True</v>
      </c>
      <c r="P1029" t="str">
        <f>IF((Sheet1[[#This Row],[ItemsInCart]]&gt;=Sheet1[[#This Row],[Quantity]]), "Good", "Bad")</f>
        <v>Good</v>
      </c>
      <c r="Q1029" t="str">
        <f t="shared" si="80"/>
        <v>OK</v>
      </c>
      <c r="R1029" t="str">
        <f t="shared" si="81"/>
        <v>GOOD</v>
      </c>
      <c r="S1029">
        <f t="shared" si="82"/>
        <v>0</v>
      </c>
      <c r="T1029">
        <f t="shared" si="83"/>
        <v>0</v>
      </c>
      <c r="U1029" t="str">
        <f t="shared" si="84"/>
        <v>OK</v>
      </c>
    </row>
    <row r="1030" spans="1:21">
      <c r="A1030" t="s">
        <v>1042</v>
      </c>
      <c r="B1030" t="s">
        <v>4379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4961</v>
      </c>
      <c r="M1030" t="s">
        <v>4278</v>
      </c>
      <c r="N1030">
        <v>1761.24</v>
      </c>
      <c r="O1030" t="str">
        <f>IF((Sheet1[[#This Row],[Quantity]]*Sheet1[[#This Row],[UnitPrice]])=(Sheet1[[#This Row],[TotalPrice]]), "True", "False")</f>
        <v>True</v>
      </c>
      <c r="P1030" t="str">
        <f>IF((Sheet1[[#This Row],[ItemsInCart]]&gt;=Sheet1[[#This Row],[Quantity]]), "Good", "Bad")</f>
        <v>Good</v>
      </c>
      <c r="Q1030" t="str">
        <f t="shared" si="80"/>
        <v>OK</v>
      </c>
      <c r="R1030" t="str">
        <f t="shared" si="81"/>
        <v>BAD</v>
      </c>
      <c r="S1030">
        <f t="shared" si="82"/>
        <v>0</v>
      </c>
      <c r="T1030">
        <f t="shared" si="83"/>
        <v>1</v>
      </c>
      <c r="U1030" t="str">
        <f t="shared" si="84"/>
        <v>REVIEW_RETURN</v>
      </c>
    </row>
    <row r="1031" spans="1:21">
      <c r="A1031" t="s">
        <v>1043</v>
      </c>
      <c r="B1031" t="s">
        <v>4910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 t="str">
        <f>IF((Sheet1[[#This Row],[Quantity]]*Sheet1[[#This Row],[UnitPrice]])=(Sheet1[[#This Row],[TotalPrice]]), "True", "False")</f>
        <v>True</v>
      </c>
      <c r="P1031" t="str">
        <f>IF((Sheet1[[#This Row],[ItemsInCart]]&gt;=Sheet1[[#This Row],[Quantity]]), "Good", "Bad")</f>
        <v>Good</v>
      </c>
      <c r="Q1031" t="str">
        <f t="shared" si="80"/>
        <v>OK</v>
      </c>
      <c r="R1031" t="str">
        <f t="shared" si="81"/>
        <v>GOOD</v>
      </c>
      <c r="S1031">
        <f t="shared" si="82"/>
        <v>0</v>
      </c>
      <c r="T1031">
        <f t="shared" si="83"/>
        <v>0</v>
      </c>
      <c r="U1031" t="str">
        <f t="shared" si="84"/>
        <v>OK</v>
      </c>
    </row>
    <row r="1032" spans="1:21">
      <c r="A1032" t="s">
        <v>1044</v>
      </c>
      <c r="B1032" t="s">
        <v>4559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 t="str">
        <f>IF((Sheet1[[#This Row],[Quantity]]*Sheet1[[#This Row],[UnitPrice]])=(Sheet1[[#This Row],[TotalPrice]]), "True", "False")</f>
        <v>True</v>
      </c>
      <c r="P1032" t="str">
        <f>IF((Sheet1[[#This Row],[ItemsInCart]]&gt;=Sheet1[[#This Row],[Quantity]]), "Good", "Bad")</f>
        <v>Good</v>
      </c>
      <c r="Q1032" t="str">
        <f t="shared" si="80"/>
        <v>OK</v>
      </c>
      <c r="R1032" t="str">
        <f t="shared" si="81"/>
        <v>GOOD</v>
      </c>
      <c r="S1032">
        <f t="shared" si="82"/>
        <v>0</v>
      </c>
      <c r="T1032">
        <f t="shared" si="83"/>
        <v>0</v>
      </c>
      <c r="U1032" t="str">
        <f t="shared" si="84"/>
        <v>OK</v>
      </c>
    </row>
    <row r="1033" spans="1:21">
      <c r="A1033" t="s">
        <v>1045</v>
      </c>
      <c r="B1033" t="s">
        <v>4568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 t="str">
        <f>IF((Sheet1[[#This Row],[Quantity]]*Sheet1[[#This Row],[UnitPrice]])=(Sheet1[[#This Row],[TotalPrice]]), "True", "False")</f>
        <v>True</v>
      </c>
      <c r="P1033" t="str">
        <f>IF((Sheet1[[#This Row],[ItemsInCart]]&gt;=Sheet1[[#This Row],[Quantity]]), "Good", "Bad")</f>
        <v>Good</v>
      </c>
      <c r="Q1033" t="str">
        <f t="shared" si="80"/>
        <v>OK</v>
      </c>
      <c r="R1033" t="str">
        <f t="shared" si="81"/>
        <v>BAD</v>
      </c>
      <c r="S1033">
        <f t="shared" si="82"/>
        <v>0</v>
      </c>
      <c r="T1033">
        <f t="shared" si="83"/>
        <v>1</v>
      </c>
      <c r="U1033" t="str">
        <f t="shared" si="84"/>
        <v>DOCUMENTED</v>
      </c>
    </row>
    <row r="1034" spans="1:21">
      <c r="A1034" t="s">
        <v>1046</v>
      </c>
      <c r="B1034" t="s">
        <v>4480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 t="str">
        <f>IF((Sheet1[[#This Row],[Quantity]]*Sheet1[[#This Row],[UnitPrice]])=(Sheet1[[#This Row],[TotalPrice]]), "True", "False")</f>
        <v>True</v>
      </c>
      <c r="P1034" t="str">
        <f>IF((Sheet1[[#This Row],[ItemsInCart]]&gt;=Sheet1[[#This Row],[Quantity]]), "Good", "Bad")</f>
        <v>Good</v>
      </c>
      <c r="Q1034" t="str">
        <f t="shared" si="80"/>
        <v>OK</v>
      </c>
      <c r="R1034" t="str">
        <f t="shared" si="81"/>
        <v>GOOD</v>
      </c>
      <c r="S1034">
        <f t="shared" si="82"/>
        <v>0</v>
      </c>
      <c r="T1034">
        <f t="shared" si="83"/>
        <v>0</v>
      </c>
      <c r="U1034" t="str">
        <f t="shared" si="84"/>
        <v>OK</v>
      </c>
    </row>
    <row r="1035" spans="1:21">
      <c r="A1035" t="s">
        <v>1047</v>
      </c>
      <c r="B1035" t="s">
        <v>4911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 t="str">
        <f>IF((Sheet1[[#This Row],[Quantity]]*Sheet1[[#This Row],[UnitPrice]])=(Sheet1[[#This Row],[TotalPrice]]), "True", "False")</f>
        <v>True</v>
      </c>
      <c r="P1035" t="str">
        <f>IF((Sheet1[[#This Row],[ItemsInCart]]&gt;=Sheet1[[#This Row],[Quantity]]), "Good", "Bad")</f>
        <v>Good</v>
      </c>
      <c r="Q1035" t="str">
        <f t="shared" si="80"/>
        <v>OK</v>
      </c>
      <c r="R1035" t="str">
        <f t="shared" si="81"/>
        <v>GOOD</v>
      </c>
      <c r="S1035">
        <f t="shared" si="82"/>
        <v>0</v>
      </c>
      <c r="T1035">
        <f t="shared" si="83"/>
        <v>0</v>
      </c>
      <c r="U1035" t="str">
        <f t="shared" si="84"/>
        <v>OK</v>
      </c>
    </row>
    <row r="1036" spans="1:21">
      <c r="A1036" t="s">
        <v>1048</v>
      </c>
      <c r="B1036" t="s">
        <v>4735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 t="str">
        <f>IF((Sheet1[[#This Row],[Quantity]]*Sheet1[[#This Row],[UnitPrice]])=(Sheet1[[#This Row],[TotalPrice]]), "True", "False")</f>
        <v>True</v>
      </c>
      <c r="P1036" t="str">
        <f>IF((Sheet1[[#This Row],[ItemsInCart]]&gt;=Sheet1[[#This Row],[Quantity]]), "Good", "Bad")</f>
        <v>Good</v>
      </c>
      <c r="Q1036" t="str">
        <f t="shared" si="80"/>
        <v>OK</v>
      </c>
      <c r="R1036" t="str">
        <f t="shared" si="81"/>
        <v>BAD</v>
      </c>
      <c r="S1036">
        <f t="shared" si="82"/>
        <v>0</v>
      </c>
      <c r="T1036">
        <f t="shared" si="83"/>
        <v>1</v>
      </c>
      <c r="U1036" t="str">
        <f t="shared" si="84"/>
        <v>REVIEW_RETURN</v>
      </c>
    </row>
    <row r="1037" spans="1:21">
      <c r="A1037" t="s">
        <v>1049</v>
      </c>
      <c r="B1037" t="s">
        <v>4912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4961</v>
      </c>
      <c r="M1037" t="s">
        <v>4279</v>
      </c>
      <c r="N1037">
        <v>2024.44</v>
      </c>
      <c r="O1037" t="str">
        <f>IF((Sheet1[[#This Row],[Quantity]]*Sheet1[[#This Row],[UnitPrice]])=(Sheet1[[#This Row],[TotalPrice]]), "True", "False")</f>
        <v>True</v>
      </c>
      <c r="P1037" t="str">
        <f>IF((Sheet1[[#This Row],[ItemsInCart]]&gt;=Sheet1[[#This Row],[Quantity]]), "Good", "Bad")</f>
        <v>Good</v>
      </c>
      <c r="Q1037" t="str">
        <f t="shared" si="80"/>
        <v>OK</v>
      </c>
      <c r="R1037" t="str">
        <f t="shared" si="81"/>
        <v>BAD</v>
      </c>
      <c r="S1037">
        <f t="shared" si="82"/>
        <v>0</v>
      </c>
      <c r="T1037">
        <f t="shared" si="83"/>
        <v>1</v>
      </c>
      <c r="U1037" t="str">
        <f t="shared" si="84"/>
        <v>REVIEW_RETURN</v>
      </c>
    </row>
    <row r="1038" spans="1:21">
      <c r="A1038" t="s">
        <v>1050</v>
      </c>
      <c r="B1038" t="s">
        <v>4866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 t="str">
        <f>IF((Sheet1[[#This Row],[Quantity]]*Sheet1[[#This Row],[UnitPrice]])=(Sheet1[[#This Row],[TotalPrice]]), "True", "False")</f>
        <v>True</v>
      </c>
      <c r="P1038" t="str">
        <f>IF((Sheet1[[#This Row],[ItemsInCart]]&gt;=Sheet1[[#This Row],[Quantity]]), "Good", "Bad")</f>
        <v>Good</v>
      </c>
      <c r="Q1038" t="str">
        <f t="shared" si="80"/>
        <v>OK</v>
      </c>
      <c r="R1038" t="str">
        <f t="shared" si="81"/>
        <v>GOOD</v>
      </c>
      <c r="S1038">
        <f t="shared" si="82"/>
        <v>0</v>
      </c>
      <c r="T1038">
        <f t="shared" si="83"/>
        <v>0</v>
      </c>
      <c r="U1038" t="str">
        <f t="shared" si="84"/>
        <v>OK</v>
      </c>
    </row>
    <row r="1039" spans="1:21">
      <c r="A1039" t="s">
        <v>1051</v>
      </c>
      <c r="B1039" t="s">
        <v>4424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 t="str">
        <f>IF((Sheet1[[#This Row],[Quantity]]*Sheet1[[#This Row],[UnitPrice]])=(Sheet1[[#This Row],[TotalPrice]]), "True", "False")</f>
        <v>True</v>
      </c>
      <c r="P1039" t="str">
        <f>IF((Sheet1[[#This Row],[ItemsInCart]]&gt;=Sheet1[[#This Row],[Quantity]]), "Good", "Bad")</f>
        <v>Good</v>
      </c>
      <c r="Q1039" t="str">
        <f t="shared" si="80"/>
        <v>OK</v>
      </c>
      <c r="R1039" t="str">
        <f t="shared" si="81"/>
        <v>BAD</v>
      </c>
      <c r="S1039">
        <f t="shared" si="82"/>
        <v>0</v>
      </c>
      <c r="T1039">
        <f t="shared" si="83"/>
        <v>1</v>
      </c>
      <c r="U1039" t="str">
        <f t="shared" si="84"/>
        <v>DOCUMENTED</v>
      </c>
    </row>
    <row r="1040" spans="1:21">
      <c r="A1040" t="s">
        <v>1052</v>
      </c>
      <c r="B1040" t="s">
        <v>4458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4961</v>
      </c>
      <c r="M1040" t="s">
        <v>4281</v>
      </c>
      <c r="N1040">
        <v>1087.5899999999999</v>
      </c>
      <c r="O1040" t="str">
        <f>IF((Sheet1[[#This Row],[Quantity]]*Sheet1[[#This Row],[UnitPrice]])=(Sheet1[[#This Row],[TotalPrice]]), "True", "False")</f>
        <v>True</v>
      </c>
      <c r="P1040" t="str">
        <f>IF((Sheet1[[#This Row],[ItemsInCart]]&gt;=Sheet1[[#This Row],[Quantity]]), "Good", "Bad")</f>
        <v>Good</v>
      </c>
      <c r="Q1040" t="str">
        <f t="shared" si="80"/>
        <v>OK</v>
      </c>
      <c r="R1040" t="str">
        <f t="shared" si="81"/>
        <v>GOOD</v>
      </c>
      <c r="S1040">
        <f t="shared" si="82"/>
        <v>0</v>
      </c>
      <c r="T1040">
        <f t="shared" si="83"/>
        <v>0</v>
      </c>
      <c r="U1040" t="str">
        <f t="shared" si="84"/>
        <v>OK</v>
      </c>
    </row>
    <row r="1041" spans="1:21">
      <c r="A1041" t="s">
        <v>1053</v>
      </c>
      <c r="B1041" t="s">
        <v>4447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 t="str">
        <f>IF((Sheet1[[#This Row],[Quantity]]*Sheet1[[#This Row],[UnitPrice]])=(Sheet1[[#This Row],[TotalPrice]]), "True", "False")</f>
        <v>True</v>
      </c>
      <c r="P1041" t="str">
        <f>IF((Sheet1[[#This Row],[ItemsInCart]]&gt;=Sheet1[[#This Row],[Quantity]]), "Good", "Bad")</f>
        <v>Good</v>
      </c>
      <c r="Q1041" t="str">
        <f t="shared" si="80"/>
        <v>OK</v>
      </c>
      <c r="R1041" t="str">
        <f t="shared" si="81"/>
        <v>BAD</v>
      </c>
      <c r="S1041">
        <f t="shared" si="82"/>
        <v>0</v>
      </c>
      <c r="T1041">
        <f t="shared" si="83"/>
        <v>1</v>
      </c>
      <c r="U1041" t="str">
        <f t="shared" si="84"/>
        <v>REVIEW_RETURN</v>
      </c>
    </row>
    <row r="1042" spans="1:21">
      <c r="A1042" t="s">
        <v>1054</v>
      </c>
      <c r="B1042" t="s">
        <v>4658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 t="str">
        <f>IF((Sheet1[[#This Row],[Quantity]]*Sheet1[[#This Row],[UnitPrice]])=(Sheet1[[#This Row],[TotalPrice]]), "True", "False")</f>
        <v>True</v>
      </c>
      <c r="P1042" t="str">
        <f>IF((Sheet1[[#This Row],[ItemsInCart]]&gt;=Sheet1[[#This Row],[Quantity]]), "Good", "Bad")</f>
        <v>Good</v>
      </c>
      <c r="Q1042" t="str">
        <f t="shared" si="80"/>
        <v>OK</v>
      </c>
      <c r="R1042" t="str">
        <f t="shared" si="81"/>
        <v>GOOD</v>
      </c>
      <c r="S1042">
        <f t="shared" si="82"/>
        <v>0</v>
      </c>
      <c r="T1042">
        <f t="shared" si="83"/>
        <v>0</v>
      </c>
      <c r="U1042" t="str">
        <f t="shared" si="84"/>
        <v>OK</v>
      </c>
    </row>
    <row r="1043" spans="1:21">
      <c r="A1043" t="s">
        <v>1055</v>
      </c>
      <c r="B1043" t="s">
        <v>4374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 t="str">
        <f>IF((Sheet1[[#This Row],[Quantity]]*Sheet1[[#This Row],[UnitPrice]])=(Sheet1[[#This Row],[TotalPrice]]), "True", "False")</f>
        <v>True</v>
      </c>
      <c r="P1043" t="str">
        <f>IF((Sheet1[[#This Row],[ItemsInCart]]&gt;=Sheet1[[#This Row],[Quantity]]), "Good", "Bad")</f>
        <v>Good</v>
      </c>
      <c r="Q1043" t="str">
        <f t="shared" si="80"/>
        <v>OK</v>
      </c>
      <c r="R1043" t="str">
        <f t="shared" si="81"/>
        <v>GOOD</v>
      </c>
      <c r="S1043">
        <f t="shared" si="82"/>
        <v>0</v>
      </c>
      <c r="T1043">
        <f t="shared" si="83"/>
        <v>0</v>
      </c>
      <c r="U1043" t="str">
        <f t="shared" si="84"/>
        <v>OK</v>
      </c>
    </row>
    <row r="1044" spans="1:21">
      <c r="A1044" t="s">
        <v>1056</v>
      </c>
      <c r="B1044" t="s">
        <v>4348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 t="str">
        <f>IF((Sheet1[[#This Row],[Quantity]]*Sheet1[[#This Row],[UnitPrice]])=(Sheet1[[#This Row],[TotalPrice]]), "True", "False")</f>
        <v>True</v>
      </c>
      <c r="P1044" t="str">
        <f>IF((Sheet1[[#This Row],[ItemsInCart]]&gt;=Sheet1[[#This Row],[Quantity]]), "Good", "Bad")</f>
        <v>Good</v>
      </c>
      <c r="Q1044" t="str">
        <f t="shared" si="80"/>
        <v>OK</v>
      </c>
      <c r="R1044" t="str">
        <f t="shared" si="81"/>
        <v>GOOD</v>
      </c>
      <c r="S1044">
        <f t="shared" si="82"/>
        <v>0</v>
      </c>
      <c r="T1044">
        <f t="shared" si="83"/>
        <v>0</v>
      </c>
      <c r="U1044" t="str">
        <f t="shared" si="84"/>
        <v>OK</v>
      </c>
    </row>
    <row r="1045" spans="1:21">
      <c r="A1045" t="s">
        <v>1057</v>
      </c>
      <c r="B1045" t="s">
        <v>4913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4961</v>
      </c>
      <c r="M1045" t="s">
        <v>4278</v>
      </c>
      <c r="N1045">
        <v>359.92</v>
      </c>
      <c r="O1045" t="str">
        <f>IF((Sheet1[[#This Row],[Quantity]]*Sheet1[[#This Row],[UnitPrice]])=(Sheet1[[#This Row],[TotalPrice]]), "True", "False")</f>
        <v>True</v>
      </c>
      <c r="P1045" t="str">
        <f>IF((Sheet1[[#This Row],[ItemsInCart]]&gt;=Sheet1[[#This Row],[Quantity]]), "Good", "Bad")</f>
        <v>Good</v>
      </c>
      <c r="Q1045" t="str">
        <f t="shared" si="80"/>
        <v>OK</v>
      </c>
      <c r="R1045" t="str">
        <f t="shared" si="81"/>
        <v>GOOD</v>
      </c>
      <c r="S1045">
        <f t="shared" si="82"/>
        <v>0</v>
      </c>
      <c r="T1045">
        <f t="shared" si="83"/>
        <v>0</v>
      </c>
      <c r="U1045" t="str">
        <f t="shared" si="84"/>
        <v>OK</v>
      </c>
    </row>
    <row r="1046" spans="1:21">
      <c r="A1046" t="s">
        <v>1058</v>
      </c>
      <c r="B1046" t="s">
        <v>4733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 t="str">
        <f>IF((Sheet1[[#This Row],[Quantity]]*Sheet1[[#This Row],[UnitPrice]])=(Sheet1[[#This Row],[TotalPrice]]), "True", "False")</f>
        <v>True</v>
      </c>
      <c r="P1046" t="str">
        <f>IF((Sheet1[[#This Row],[ItemsInCart]]&gt;=Sheet1[[#This Row],[Quantity]]), "Good", "Bad")</f>
        <v>Good</v>
      </c>
      <c r="Q1046" t="str">
        <f t="shared" si="80"/>
        <v>OK</v>
      </c>
      <c r="R1046" t="str">
        <f t="shared" si="81"/>
        <v>GOOD</v>
      </c>
      <c r="S1046">
        <f t="shared" si="82"/>
        <v>0</v>
      </c>
      <c r="T1046">
        <f t="shared" si="83"/>
        <v>0</v>
      </c>
      <c r="U1046" t="str">
        <f t="shared" si="84"/>
        <v>OK</v>
      </c>
    </row>
    <row r="1047" spans="1:21">
      <c r="A1047" t="s">
        <v>1059</v>
      </c>
      <c r="B1047" t="s">
        <v>4311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4961</v>
      </c>
      <c r="M1047" t="s">
        <v>4280</v>
      </c>
      <c r="N1047">
        <v>1582</v>
      </c>
      <c r="O1047" t="str">
        <f>IF((Sheet1[[#This Row],[Quantity]]*Sheet1[[#This Row],[UnitPrice]])=(Sheet1[[#This Row],[TotalPrice]]), "True", "False")</f>
        <v>True</v>
      </c>
      <c r="P1047" t="str">
        <f>IF((Sheet1[[#This Row],[ItemsInCart]]&gt;=Sheet1[[#This Row],[Quantity]]), "Good", "Bad")</f>
        <v>Good</v>
      </c>
      <c r="Q1047" t="str">
        <f t="shared" si="80"/>
        <v>OK</v>
      </c>
      <c r="R1047" t="str">
        <f t="shared" si="81"/>
        <v>GOOD</v>
      </c>
      <c r="S1047">
        <f t="shared" si="82"/>
        <v>0</v>
      </c>
      <c r="T1047">
        <f t="shared" si="83"/>
        <v>0</v>
      </c>
      <c r="U1047" t="str">
        <f t="shared" si="84"/>
        <v>OK</v>
      </c>
    </row>
    <row r="1048" spans="1:21">
      <c r="A1048" t="s">
        <v>1060</v>
      </c>
      <c r="B1048" t="s">
        <v>4833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 t="str">
        <f>IF((Sheet1[[#This Row],[Quantity]]*Sheet1[[#This Row],[UnitPrice]])=(Sheet1[[#This Row],[TotalPrice]]), "True", "False")</f>
        <v>True</v>
      </c>
      <c r="P1048" t="str">
        <f>IF((Sheet1[[#This Row],[ItemsInCart]]&gt;=Sheet1[[#This Row],[Quantity]]), "Good", "Bad")</f>
        <v>Good</v>
      </c>
      <c r="Q1048" t="str">
        <f t="shared" si="80"/>
        <v>OK</v>
      </c>
      <c r="R1048" t="str">
        <f t="shared" si="81"/>
        <v>GOOD</v>
      </c>
      <c r="S1048">
        <f t="shared" si="82"/>
        <v>0</v>
      </c>
      <c r="T1048">
        <f t="shared" si="83"/>
        <v>0</v>
      </c>
      <c r="U1048" t="str">
        <f t="shared" si="84"/>
        <v>OK</v>
      </c>
    </row>
    <row r="1049" spans="1:21">
      <c r="A1049" t="s">
        <v>1061</v>
      </c>
      <c r="B1049" t="s">
        <v>4750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 t="str">
        <f>IF((Sheet1[[#This Row],[Quantity]]*Sheet1[[#This Row],[UnitPrice]])=(Sheet1[[#This Row],[TotalPrice]]), "True", "False")</f>
        <v>True</v>
      </c>
      <c r="P1049" t="str">
        <f>IF((Sheet1[[#This Row],[ItemsInCart]]&gt;=Sheet1[[#This Row],[Quantity]]), "Good", "Bad")</f>
        <v>Good</v>
      </c>
      <c r="Q1049" t="str">
        <f t="shared" si="80"/>
        <v>OK</v>
      </c>
      <c r="R1049" t="str">
        <f t="shared" si="81"/>
        <v>GOOD</v>
      </c>
      <c r="S1049">
        <f t="shared" si="82"/>
        <v>0</v>
      </c>
      <c r="T1049">
        <f t="shared" si="83"/>
        <v>0</v>
      </c>
      <c r="U1049" t="str">
        <f t="shared" si="84"/>
        <v>OK</v>
      </c>
    </row>
    <row r="1050" spans="1:21">
      <c r="A1050" t="s">
        <v>1062</v>
      </c>
      <c r="B1050" t="s">
        <v>4365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4961</v>
      </c>
      <c r="M1050" t="s">
        <v>4282</v>
      </c>
      <c r="N1050">
        <v>294.60000000000002</v>
      </c>
      <c r="O1050" t="str">
        <f>IF((Sheet1[[#This Row],[Quantity]]*Sheet1[[#This Row],[UnitPrice]])=(Sheet1[[#This Row],[TotalPrice]]), "True", "False")</f>
        <v>True</v>
      </c>
      <c r="P1050" t="str">
        <f>IF((Sheet1[[#This Row],[ItemsInCart]]&gt;=Sheet1[[#This Row],[Quantity]]), "Good", "Bad")</f>
        <v>Good</v>
      </c>
      <c r="Q1050" t="str">
        <f t="shared" si="80"/>
        <v>OK</v>
      </c>
      <c r="R1050" t="str">
        <f t="shared" si="81"/>
        <v>GOOD</v>
      </c>
      <c r="S1050">
        <f t="shared" si="82"/>
        <v>0</v>
      </c>
      <c r="T1050">
        <f t="shared" si="83"/>
        <v>0</v>
      </c>
      <c r="U1050" t="str">
        <f t="shared" si="84"/>
        <v>OK</v>
      </c>
    </row>
    <row r="1051" spans="1:21">
      <c r="A1051" t="s">
        <v>1063</v>
      </c>
      <c r="B1051" t="s">
        <v>4691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4961</v>
      </c>
      <c r="M1051" t="s">
        <v>4278</v>
      </c>
      <c r="N1051">
        <v>1959.3</v>
      </c>
      <c r="O1051" t="str">
        <f>IF((Sheet1[[#This Row],[Quantity]]*Sheet1[[#This Row],[UnitPrice]])=(Sheet1[[#This Row],[TotalPrice]]), "True", "False")</f>
        <v>True</v>
      </c>
      <c r="P1051" t="str">
        <f>IF((Sheet1[[#This Row],[ItemsInCart]]&gt;=Sheet1[[#This Row],[Quantity]]), "Good", "Bad")</f>
        <v>Good</v>
      </c>
      <c r="Q1051" t="str">
        <f t="shared" si="80"/>
        <v>OK</v>
      </c>
      <c r="R1051" t="str">
        <f t="shared" si="81"/>
        <v>GOOD</v>
      </c>
      <c r="S1051">
        <f t="shared" si="82"/>
        <v>0</v>
      </c>
      <c r="T1051">
        <f t="shared" si="83"/>
        <v>0</v>
      </c>
      <c r="U1051" t="str">
        <f t="shared" si="84"/>
        <v>OK</v>
      </c>
    </row>
    <row r="1052" spans="1:21">
      <c r="A1052" t="s">
        <v>1064</v>
      </c>
      <c r="B1052" t="s">
        <v>4321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4961</v>
      </c>
      <c r="M1052" t="s">
        <v>4278</v>
      </c>
      <c r="N1052">
        <v>348.5</v>
      </c>
      <c r="O1052" t="str">
        <f>IF((Sheet1[[#This Row],[Quantity]]*Sheet1[[#This Row],[UnitPrice]])=(Sheet1[[#This Row],[TotalPrice]]), "True", "False")</f>
        <v>True</v>
      </c>
      <c r="P1052" t="str">
        <f>IF((Sheet1[[#This Row],[ItemsInCart]]&gt;=Sheet1[[#This Row],[Quantity]]), "Good", "Bad")</f>
        <v>Good</v>
      </c>
      <c r="Q1052" t="str">
        <f t="shared" si="80"/>
        <v>OK</v>
      </c>
      <c r="R1052" t="str">
        <f t="shared" si="81"/>
        <v>GOOD</v>
      </c>
      <c r="S1052">
        <f t="shared" si="82"/>
        <v>0</v>
      </c>
      <c r="T1052">
        <f t="shared" si="83"/>
        <v>0</v>
      </c>
      <c r="U1052" t="str">
        <f t="shared" si="84"/>
        <v>OK</v>
      </c>
    </row>
    <row r="1053" spans="1:21">
      <c r="A1053" t="s">
        <v>1065</v>
      </c>
      <c r="B1053" t="s">
        <v>4659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 t="str">
        <f>IF((Sheet1[[#This Row],[Quantity]]*Sheet1[[#This Row],[UnitPrice]])=(Sheet1[[#This Row],[TotalPrice]]), "True", "False")</f>
        <v>True</v>
      </c>
      <c r="P1053" t="str">
        <f>IF((Sheet1[[#This Row],[ItemsInCart]]&gt;=Sheet1[[#This Row],[Quantity]]), "Good", "Bad")</f>
        <v>Good</v>
      </c>
      <c r="Q1053" t="str">
        <f t="shared" si="80"/>
        <v>OK</v>
      </c>
      <c r="R1053" t="str">
        <f t="shared" si="81"/>
        <v>GOOD</v>
      </c>
      <c r="S1053">
        <f t="shared" si="82"/>
        <v>0</v>
      </c>
      <c r="T1053">
        <f t="shared" si="83"/>
        <v>0</v>
      </c>
      <c r="U1053" t="str">
        <f t="shared" si="84"/>
        <v>OK</v>
      </c>
    </row>
    <row r="1054" spans="1:21">
      <c r="A1054" t="s">
        <v>1066</v>
      </c>
      <c r="B1054" t="s">
        <v>4914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 t="str">
        <f>IF((Sheet1[[#This Row],[Quantity]]*Sheet1[[#This Row],[UnitPrice]])=(Sheet1[[#This Row],[TotalPrice]]), "True", "False")</f>
        <v>True</v>
      </c>
      <c r="P1054" t="str">
        <f>IF((Sheet1[[#This Row],[ItemsInCart]]&gt;=Sheet1[[#This Row],[Quantity]]), "Good", "Bad")</f>
        <v>Good</v>
      </c>
      <c r="Q1054" t="str">
        <f t="shared" si="80"/>
        <v>OK</v>
      </c>
      <c r="R1054" t="str">
        <f t="shared" si="81"/>
        <v>GOOD</v>
      </c>
      <c r="S1054">
        <f t="shared" si="82"/>
        <v>0</v>
      </c>
      <c r="T1054">
        <f t="shared" si="83"/>
        <v>0</v>
      </c>
      <c r="U1054" t="str">
        <f t="shared" si="84"/>
        <v>OK</v>
      </c>
    </row>
    <row r="1055" spans="1:21">
      <c r="A1055" t="s">
        <v>1067</v>
      </c>
      <c r="B1055" t="s">
        <v>4915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 t="str">
        <f>IF((Sheet1[[#This Row],[Quantity]]*Sheet1[[#This Row],[UnitPrice]])=(Sheet1[[#This Row],[TotalPrice]]), "True", "False")</f>
        <v>True</v>
      </c>
      <c r="P1055" t="str">
        <f>IF((Sheet1[[#This Row],[ItemsInCart]]&gt;=Sheet1[[#This Row],[Quantity]]), "Good", "Bad")</f>
        <v>Good</v>
      </c>
      <c r="Q1055" t="str">
        <f t="shared" si="80"/>
        <v>OK</v>
      </c>
      <c r="R1055" t="str">
        <f t="shared" si="81"/>
        <v>BAD</v>
      </c>
      <c r="S1055">
        <f t="shared" si="82"/>
        <v>0</v>
      </c>
      <c r="T1055">
        <f t="shared" si="83"/>
        <v>1</v>
      </c>
      <c r="U1055" t="str">
        <f t="shared" si="84"/>
        <v>DOCUMENTED</v>
      </c>
    </row>
    <row r="1056" spans="1:21">
      <c r="A1056" t="s">
        <v>1068</v>
      </c>
      <c r="B1056" t="s">
        <v>4916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 t="str">
        <f>IF((Sheet1[[#This Row],[Quantity]]*Sheet1[[#This Row],[UnitPrice]])=(Sheet1[[#This Row],[TotalPrice]]), "True", "False")</f>
        <v>True</v>
      </c>
      <c r="P1056" t="str">
        <f>IF((Sheet1[[#This Row],[ItemsInCart]]&gt;=Sheet1[[#This Row],[Quantity]]), "Good", "Bad")</f>
        <v>Good</v>
      </c>
      <c r="Q1056" t="str">
        <f t="shared" si="80"/>
        <v>OK</v>
      </c>
      <c r="R1056" t="str">
        <f t="shared" si="81"/>
        <v>GOOD</v>
      </c>
      <c r="S1056">
        <f t="shared" si="82"/>
        <v>0</v>
      </c>
      <c r="T1056">
        <f t="shared" si="83"/>
        <v>0</v>
      </c>
      <c r="U1056" t="str">
        <f t="shared" si="84"/>
        <v>OK</v>
      </c>
    </row>
    <row r="1057" spans="1:21">
      <c r="A1057" t="s">
        <v>1069</v>
      </c>
      <c r="B1057" t="s">
        <v>4288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 t="str">
        <f>IF((Sheet1[[#This Row],[Quantity]]*Sheet1[[#This Row],[UnitPrice]])=(Sheet1[[#This Row],[TotalPrice]]), "True", "False")</f>
        <v>True</v>
      </c>
      <c r="P1057" t="str">
        <f>IF((Sheet1[[#This Row],[ItemsInCart]]&gt;=Sheet1[[#This Row],[Quantity]]), "Good", "Bad")</f>
        <v>Good</v>
      </c>
      <c r="Q1057" t="str">
        <f t="shared" si="80"/>
        <v>OK</v>
      </c>
      <c r="R1057" t="str">
        <f t="shared" si="81"/>
        <v>GOOD</v>
      </c>
      <c r="S1057">
        <f t="shared" si="82"/>
        <v>0</v>
      </c>
      <c r="T1057">
        <f t="shared" si="83"/>
        <v>0</v>
      </c>
      <c r="U1057" t="str">
        <f t="shared" si="84"/>
        <v>OK</v>
      </c>
    </row>
    <row r="1058" spans="1:21">
      <c r="A1058" t="s">
        <v>1070</v>
      </c>
      <c r="B1058" t="s">
        <v>4563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 t="str">
        <f>IF((Sheet1[[#This Row],[Quantity]]*Sheet1[[#This Row],[UnitPrice]])=(Sheet1[[#This Row],[TotalPrice]]), "True", "False")</f>
        <v>True</v>
      </c>
      <c r="P1058" t="str">
        <f>IF((Sheet1[[#This Row],[ItemsInCart]]&gt;=Sheet1[[#This Row],[Quantity]]), "Good", "Bad")</f>
        <v>Good</v>
      </c>
      <c r="Q1058" t="str">
        <f t="shared" si="80"/>
        <v>OK</v>
      </c>
      <c r="R1058" t="str">
        <f t="shared" si="81"/>
        <v>BAD</v>
      </c>
      <c r="S1058">
        <f t="shared" si="82"/>
        <v>0</v>
      </c>
      <c r="T1058">
        <f t="shared" si="83"/>
        <v>1</v>
      </c>
      <c r="U1058" t="str">
        <f t="shared" si="84"/>
        <v>DOCUMENTED</v>
      </c>
    </row>
    <row r="1059" spans="1:21">
      <c r="A1059" t="s">
        <v>1071</v>
      </c>
      <c r="B1059" t="s">
        <v>4917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 t="str">
        <f>IF((Sheet1[[#This Row],[Quantity]]*Sheet1[[#This Row],[UnitPrice]])=(Sheet1[[#This Row],[TotalPrice]]), "True", "False")</f>
        <v>True</v>
      </c>
      <c r="P1059" t="str">
        <f>IF((Sheet1[[#This Row],[ItemsInCart]]&gt;=Sheet1[[#This Row],[Quantity]]), "Good", "Bad")</f>
        <v>Good</v>
      </c>
      <c r="Q1059" t="str">
        <f t="shared" si="80"/>
        <v>OK</v>
      </c>
      <c r="R1059" t="str">
        <f t="shared" si="81"/>
        <v>GOOD</v>
      </c>
      <c r="S1059">
        <f t="shared" si="82"/>
        <v>0</v>
      </c>
      <c r="T1059">
        <f t="shared" si="83"/>
        <v>0</v>
      </c>
      <c r="U1059" t="str">
        <f t="shared" si="84"/>
        <v>OK</v>
      </c>
    </row>
    <row r="1060" spans="1:21">
      <c r="A1060" t="s">
        <v>1072</v>
      </c>
      <c r="B1060" t="s">
        <v>4385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 t="str">
        <f>IF((Sheet1[[#This Row],[Quantity]]*Sheet1[[#This Row],[UnitPrice]])=(Sheet1[[#This Row],[TotalPrice]]), "True", "False")</f>
        <v>True</v>
      </c>
      <c r="P1060" t="str">
        <f>IF((Sheet1[[#This Row],[ItemsInCart]]&gt;=Sheet1[[#This Row],[Quantity]]), "Good", "Bad")</f>
        <v>Good</v>
      </c>
      <c r="Q1060" t="str">
        <f t="shared" si="80"/>
        <v>OK</v>
      </c>
      <c r="R1060" t="str">
        <f t="shared" si="81"/>
        <v>GOOD</v>
      </c>
      <c r="S1060">
        <f t="shared" si="82"/>
        <v>0</v>
      </c>
      <c r="T1060">
        <f t="shared" si="83"/>
        <v>0</v>
      </c>
      <c r="U1060" t="str">
        <f t="shared" si="84"/>
        <v>OK</v>
      </c>
    </row>
    <row r="1061" spans="1:21">
      <c r="A1061" t="s">
        <v>1073</v>
      </c>
      <c r="B1061" t="s">
        <v>4774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 t="str">
        <f>IF((Sheet1[[#This Row],[Quantity]]*Sheet1[[#This Row],[UnitPrice]])=(Sheet1[[#This Row],[TotalPrice]]), "True", "False")</f>
        <v>True</v>
      </c>
      <c r="P1061" t="str">
        <f>IF((Sheet1[[#This Row],[ItemsInCart]]&gt;=Sheet1[[#This Row],[Quantity]]), "Good", "Bad")</f>
        <v>Good</v>
      </c>
      <c r="Q1061" t="str">
        <f t="shared" si="80"/>
        <v>OK</v>
      </c>
      <c r="R1061" t="str">
        <f t="shared" si="81"/>
        <v>GOOD</v>
      </c>
      <c r="S1061">
        <f t="shared" si="82"/>
        <v>0</v>
      </c>
      <c r="T1061">
        <f t="shared" si="83"/>
        <v>0</v>
      </c>
      <c r="U1061" t="str">
        <f t="shared" si="84"/>
        <v>OK</v>
      </c>
    </row>
    <row r="1062" spans="1:21">
      <c r="A1062" t="s">
        <v>1074</v>
      </c>
      <c r="B1062" t="s">
        <v>4918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 t="str">
        <f>IF((Sheet1[[#This Row],[Quantity]]*Sheet1[[#This Row],[UnitPrice]])=(Sheet1[[#This Row],[TotalPrice]]), "True", "False")</f>
        <v>True</v>
      </c>
      <c r="P1062" t="str">
        <f>IF((Sheet1[[#This Row],[ItemsInCart]]&gt;=Sheet1[[#This Row],[Quantity]]), "Good", "Bad")</f>
        <v>Good</v>
      </c>
      <c r="Q1062" t="str">
        <f t="shared" si="80"/>
        <v>OK</v>
      </c>
      <c r="R1062" t="str">
        <f t="shared" si="81"/>
        <v>GOOD</v>
      </c>
      <c r="S1062">
        <f t="shared" si="82"/>
        <v>0</v>
      </c>
      <c r="T1062">
        <f t="shared" si="83"/>
        <v>0</v>
      </c>
      <c r="U1062" t="str">
        <f t="shared" si="84"/>
        <v>OK</v>
      </c>
    </row>
    <row r="1063" spans="1:21">
      <c r="A1063" t="s">
        <v>1075</v>
      </c>
      <c r="B1063" t="s">
        <v>4919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 t="str">
        <f>IF((Sheet1[[#This Row],[Quantity]]*Sheet1[[#This Row],[UnitPrice]])=(Sheet1[[#This Row],[TotalPrice]]), "True", "False")</f>
        <v>True</v>
      </c>
      <c r="P1063" t="str">
        <f>IF((Sheet1[[#This Row],[ItemsInCart]]&gt;=Sheet1[[#This Row],[Quantity]]), "Good", "Bad")</f>
        <v>Good</v>
      </c>
      <c r="Q1063" t="str">
        <f t="shared" si="80"/>
        <v>OK</v>
      </c>
      <c r="R1063" t="str">
        <f t="shared" si="81"/>
        <v>GOOD</v>
      </c>
      <c r="S1063">
        <f t="shared" si="82"/>
        <v>0</v>
      </c>
      <c r="T1063">
        <f t="shared" si="83"/>
        <v>0</v>
      </c>
      <c r="U1063" t="str">
        <f t="shared" si="84"/>
        <v>OK</v>
      </c>
    </row>
    <row r="1064" spans="1:21">
      <c r="A1064" t="s">
        <v>1076</v>
      </c>
      <c r="B1064" t="s">
        <v>4704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4961</v>
      </c>
      <c r="M1064" t="s">
        <v>4281</v>
      </c>
      <c r="N1064">
        <v>427.6</v>
      </c>
      <c r="O1064" t="str">
        <f>IF((Sheet1[[#This Row],[Quantity]]*Sheet1[[#This Row],[UnitPrice]])=(Sheet1[[#This Row],[TotalPrice]]), "True", "False")</f>
        <v>True</v>
      </c>
      <c r="P1064" t="str">
        <f>IF((Sheet1[[#This Row],[ItemsInCart]]&gt;=Sheet1[[#This Row],[Quantity]]), "Good", "Bad")</f>
        <v>Good</v>
      </c>
      <c r="Q1064" t="str">
        <f t="shared" si="80"/>
        <v>OK</v>
      </c>
      <c r="R1064" t="str">
        <f t="shared" si="81"/>
        <v>BAD</v>
      </c>
      <c r="S1064">
        <f t="shared" si="82"/>
        <v>0</v>
      </c>
      <c r="T1064">
        <f t="shared" si="83"/>
        <v>1</v>
      </c>
      <c r="U1064" t="str">
        <f t="shared" si="84"/>
        <v>REVIEW_RETURN</v>
      </c>
    </row>
    <row r="1065" spans="1:21">
      <c r="A1065" t="s">
        <v>1077</v>
      </c>
      <c r="B1065" t="s">
        <v>4366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 t="str">
        <f>IF((Sheet1[[#This Row],[Quantity]]*Sheet1[[#This Row],[UnitPrice]])=(Sheet1[[#This Row],[TotalPrice]]), "True", "False")</f>
        <v>True</v>
      </c>
      <c r="P1065" t="str">
        <f>IF((Sheet1[[#This Row],[ItemsInCart]]&gt;=Sheet1[[#This Row],[Quantity]]), "Good", "Bad")</f>
        <v>Good</v>
      </c>
      <c r="Q1065" t="str">
        <f t="shared" si="80"/>
        <v>OK</v>
      </c>
      <c r="R1065" t="str">
        <f t="shared" si="81"/>
        <v>GOOD</v>
      </c>
      <c r="S1065">
        <f t="shared" si="82"/>
        <v>0</v>
      </c>
      <c r="T1065">
        <f t="shared" si="83"/>
        <v>0</v>
      </c>
      <c r="U1065" t="str">
        <f t="shared" si="84"/>
        <v>OK</v>
      </c>
    </row>
    <row r="1066" spans="1:21">
      <c r="A1066" t="s">
        <v>1078</v>
      </c>
      <c r="B1066" t="s">
        <v>4920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 t="str">
        <f>IF((Sheet1[[#This Row],[Quantity]]*Sheet1[[#This Row],[UnitPrice]])=(Sheet1[[#This Row],[TotalPrice]]), "True", "False")</f>
        <v>True</v>
      </c>
      <c r="P1066" t="str">
        <f>IF((Sheet1[[#This Row],[ItemsInCart]]&gt;=Sheet1[[#This Row],[Quantity]]), "Good", "Bad")</f>
        <v>Good</v>
      </c>
      <c r="Q1066" t="str">
        <f t="shared" si="80"/>
        <v>OK</v>
      </c>
      <c r="R1066" t="str">
        <f t="shared" si="81"/>
        <v>GOOD</v>
      </c>
      <c r="S1066">
        <f t="shared" si="82"/>
        <v>0</v>
      </c>
      <c r="T1066">
        <f t="shared" si="83"/>
        <v>0</v>
      </c>
      <c r="U1066" t="str">
        <f t="shared" si="84"/>
        <v>OK</v>
      </c>
    </row>
    <row r="1067" spans="1:21">
      <c r="A1067" t="s">
        <v>1079</v>
      </c>
      <c r="B1067" t="s">
        <v>4921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 t="str">
        <f>IF((Sheet1[[#This Row],[Quantity]]*Sheet1[[#This Row],[UnitPrice]])=(Sheet1[[#This Row],[TotalPrice]]), "True", "False")</f>
        <v>True</v>
      </c>
      <c r="P1067" t="str">
        <f>IF((Sheet1[[#This Row],[ItemsInCart]]&gt;=Sheet1[[#This Row],[Quantity]]), "Good", "Bad")</f>
        <v>Good</v>
      </c>
      <c r="Q1067" t="str">
        <f t="shared" si="80"/>
        <v>OK</v>
      </c>
      <c r="R1067" t="str">
        <f t="shared" si="81"/>
        <v>GOOD</v>
      </c>
      <c r="S1067">
        <f t="shared" si="82"/>
        <v>0</v>
      </c>
      <c r="T1067">
        <f t="shared" si="83"/>
        <v>0</v>
      </c>
      <c r="U1067" t="str">
        <f t="shared" si="84"/>
        <v>OK</v>
      </c>
    </row>
    <row r="1068" spans="1:21">
      <c r="A1068" t="s">
        <v>1080</v>
      </c>
      <c r="B1068" t="s">
        <v>4922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 t="str">
        <f>IF((Sheet1[[#This Row],[Quantity]]*Sheet1[[#This Row],[UnitPrice]])=(Sheet1[[#This Row],[TotalPrice]]), "True", "False")</f>
        <v>True</v>
      </c>
      <c r="P1068" t="str">
        <f>IF((Sheet1[[#This Row],[ItemsInCart]]&gt;=Sheet1[[#This Row],[Quantity]]), "Good", "Bad")</f>
        <v>Good</v>
      </c>
      <c r="Q1068" t="str">
        <f t="shared" si="80"/>
        <v>OK</v>
      </c>
      <c r="R1068" t="str">
        <f t="shared" si="81"/>
        <v>BAD</v>
      </c>
      <c r="S1068">
        <f t="shared" si="82"/>
        <v>0</v>
      </c>
      <c r="T1068">
        <f t="shared" si="83"/>
        <v>1</v>
      </c>
      <c r="U1068" t="str">
        <f t="shared" si="84"/>
        <v>REVIEW_RETURN</v>
      </c>
    </row>
    <row r="1069" spans="1:21">
      <c r="A1069" t="s">
        <v>1081</v>
      </c>
      <c r="B1069" t="s">
        <v>4923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4961</v>
      </c>
      <c r="M1069" t="s">
        <v>4278</v>
      </c>
      <c r="N1069">
        <v>632.4</v>
      </c>
      <c r="O1069" t="str">
        <f>IF((Sheet1[[#This Row],[Quantity]]*Sheet1[[#This Row],[UnitPrice]])=(Sheet1[[#This Row],[TotalPrice]]), "True", "False")</f>
        <v>True</v>
      </c>
      <c r="P1069" t="str">
        <f>IF((Sheet1[[#This Row],[ItemsInCart]]&gt;=Sheet1[[#This Row],[Quantity]]), "Good", "Bad")</f>
        <v>Good</v>
      </c>
      <c r="Q1069" t="str">
        <f t="shared" si="80"/>
        <v>OK</v>
      </c>
      <c r="R1069" t="str">
        <f t="shared" si="81"/>
        <v>GOOD</v>
      </c>
      <c r="S1069">
        <f t="shared" si="82"/>
        <v>0</v>
      </c>
      <c r="T1069">
        <f t="shared" si="83"/>
        <v>0</v>
      </c>
      <c r="U1069" t="str">
        <f t="shared" si="84"/>
        <v>OK</v>
      </c>
    </row>
    <row r="1070" spans="1:21">
      <c r="A1070" t="s">
        <v>1082</v>
      </c>
      <c r="B1070" t="s">
        <v>4523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 t="str">
        <f>IF((Sheet1[[#This Row],[Quantity]]*Sheet1[[#This Row],[UnitPrice]])=(Sheet1[[#This Row],[TotalPrice]]), "True", "False")</f>
        <v>True</v>
      </c>
      <c r="P1070" t="str">
        <f>IF((Sheet1[[#This Row],[ItemsInCart]]&gt;=Sheet1[[#This Row],[Quantity]]), "Good", "Bad")</f>
        <v>Good</v>
      </c>
      <c r="Q1070" t="str">
        <f t="shared" si="80"/>
        <v>OK</v>
      </c>
      <c r="R1070" t="str">
        <f t="shared" si="81"/>
        <v>GOOD</v>
      </c>
      <c r="S1070">
        <f t="shared" si="82"/>
        <v>0</v>
      </c>
      <c r="T1070">
        <f t="shared" si="83"/>
        <v>0</v>
      </c>
      <c r="U1070" t="str">
        <f t="shared" si="84"/>
        <v>OK</v>
      </c>
    </row>
    <row r="1071" spans="1:21">
      <c r="A1071" t="s">
        <v>1083</v>
      </c>
      <c r="B1071" t="s">
        <v>4924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4961</v>
      </c>
      <c r="M1071" t="s">
        <v>4281</v>
      </c>
      <c r="N1071">
        <v>454.23</v>
      </c>
      <c r="O1071" t="str">
        <f>IF((Sheet1[[#This Row],[Quantity]]*Sheet1[[#This Row],[UnitPrice]])=(Sheet1[[#This Row],[TotalPrice]]), "True", "False")</f>
        <v>True</v>
      </c>
      <c r="P1071" t="str">
        <f>IF((Sheet1[[#This Row],[ItemsInCart]]&gt;=Sheet1[[#This Row],[Quantity]]), "Good", "Bad")</f>
        <v>Good</v>
      </c>
      <c r="Q1071" t="str">
        <f t="shared" si="80"/>
        <v>OK</v>
      </c>
      <c r="R1071" t="str">
        <f t="shared" si="81"/>
        <v>GOOD</v>
      </c>
      <c r="S1071">
        <f t="shared" si="82"/>
        <v>0</v>
      </c>
      <c r="T1071">
        <f t="shared" si="83"/>
        <v>0</v>
      </c>
      <c r="U1071" t="str">
        <f t="shared" si="84"/>
        <v>OK</v>
      </c>
    </row>
    <row r="1072" spans="1:21">
      <c r="A1072" t="s">
        <v>1084</v>
      </c>
      <c r="B1072" t="s">
        <v>4888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4961</v>
      </c>
      <c r="M1072" t="s">
        <v>4280</v>
      </c>
      <c r="N1072">
        <v>1965.16</v>
      </c>
      <c r="O1072" t="str">
        <f>IF((Sheet1[[#This Row],[Quantity]]*Sheet1[[#This Row],[UnitPrice]])=(Sheet1[[#This Row],[TotalPrice]]), "True", "False")</f>
        <v>True</v>
      </c>
      <c r="P1072" t="str">
        <f>IF((Sheet1[[#This Row],[ItemsInCart]]&gt;=Sheet1[[#This Row],[Quantity]]), "Good", "Bad")</f>
        <v>Good</v>
      </c>
      <c r="Q1072" t="str">
        <f t="shared" si="80"/>
        <v>OK</v>
      </c>
      <c r="R1072" t="str">
        <f t="shared" si="81"/>
        <v>BAD</v>
      </c>
      <c r="S1072">
        <f t="shared" si="82"/>
        <v>0</v>
      </c>
      <c r="T1072">
        <f t="shared" si="83"/>
        <v>1</v>
      </c>
      <c r="U1072" t="str">
        <f t="shared" si="84"/>
        <v>DOCUMENTED</v>
      </c>
    </row>
    <row r="1073" spans="1:21">
      <c r="A1073" t="s">
        <v>1085</v>
      </c>
      <c r="B1073" t="s">
        <v>4336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4961</v>
      </c>
      <c r="M1073" t="s">
        <v>4282</v>
      </c>
      <c r="N1073">
        <v>510.28</v>
      </c>
      <c r="O1073" t="str">
        <f>IF((Sheet1[[#This Row],[Quantity]]*Sheet1[[#This Row],[UnitPrice]])=(Sheet1[[#This Row],[TotalPrice]]), "True", "False")</f>
        <v>True</v>
      </c>
      <c r="P1073" t="str">
        <f>IF((Sheet1[[#This Row],[ItemsInCart]]&gt;=Sheet1[[#This Row],[Quantity]]), "Good", "Bad")</f>
        <v>Good</v>
      </c>
      <c r="Q1073" t="str">
        <f t="shared" si="80"/>
        <v>OK</v>
      </c>
      <c r="R1073" t="str">
        <f t="shared" si="81"/>
        <v>GOOD</v>
      </c>
      <c r="S1073">
        <f t="shared" si="82"/>
        <v>0</v>
      </c>
      <c r="T1073">
        <f t="shared" si="83"/>
        <v>0</v>
      </c>
      <c r="U1073" t="str">
        <f t="shared" si="84"/>
        <v>OK</v>
      </c>
    </row>
    <row r="1074" spans="1:21">
      <c r="A1074" t="s">
        <v>1086</v>
      </c>
      <c r="B1074" t="s">
        <v>4580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 t="str">
        <f>IF((Sheet1[[#This Row],[Quantity]]*Sheet1[[#This Row],[UnitPrice]])=(Sheet1[[#This Row],[TotalPrice]]), "True", "False")</f>
        <v>True</v>
      </c>
      <c r="P1074" t="str">
        <f>IF((Sheet1[[#This Row],[ItemsInCart]]&gt;=Sheet1[[#This Row],[Quantity]]), "Good", "Bad")</f>
        <v>Good</v>
      </c>
      <c r="Q1074" t="str">
        <f t="shared" si="80"/>
        <v>OK</v>
      </c>
      <c r="R1074" t="str">
        <f t="shared" si="81"/>
        <v>BAD</v>
      </c>
      <c r="S1074">
        <f t="shared" si="82"/>
        <v>0</v>
      </c>
      <c r="T1074">
        <f t="shared" si="83"/>
        <v>1</v>
      </c>
      <c r="U1074" t="str">
        <f t="shared" si="84"/>
        <v>REVIEW_RETURN</v>
      </c>
    </row>
    <row r="1075" spans="1:21">
      <c r="A1075" t="s">
        <v>1087</v>
      </c>
      <c r="B1075" t="s">
        <v>4925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4961</v>
      </c>
      <c r="M1075" t="s">
        <v>4281</v>
      </c>
      <c r="N1075">
        <v>1448.24</v>
      </c>
      <c r="O1075" t="str">
        <f>IF((Sheet1[[#This Row],[Quantity]]*Sheet1[[#This Row],[UnitPrice]])=(Sheet1[[#This Row],[TotalPrice]]), "True", "False")</f>
        <v>True</v>
      </c>
      <c r="P1075" t="str">
        <f>IF((Sheet1[[#This Row],[ItemsInCart]]&gt;=Sheet1[[#This Row],[Quantity]]), "Good", "Bad")</f>
        <v>Good</v>
      </c>
      <c r="Q1075" t="str">
        <f t="shared" si="80"/>
        <v>OK</v>
      </c>
      <c r="R1075" t="str">
        <f t="shared" si="81"/>
        <v>GOOD</v>
      </c>
      <c r="S1075">
        <f t="shared" si="82"/>
        <v>0</v>
      </c>
      <c r="T1075">
        <f t="shared" si="83"/>
        <v>0</v>
      </c>
      <c r="U1075" t="str">
        <f t="shared" si="84"/>
        <v>OK</v>
      </c>
    </row>
    <row r="1076" spans="1:21">
      <c r="A1076" t="s">
        <v>1088</v>
      </c>
      <c r="B1076" t="s">
        <v>4734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4961</v>
      </c>
      <c r="M1076" t="s">
        <v>4282</v>
      </c>
      <c r="N1076">
        <v>222.73</v>
      </c>
      <c r="O1076" t="str">
        <f>IF((Sheet1[[#This Row],[Quantity]]*Sheet1[[#This Row],[UnitPrice]])=(Sheet1[[#This Row],[TotalPrice]]), "True", "False")</f>
        <v>True</v>
      </c>
      <c r="P1076" t="str">
        <f>IF((Sheet1[[#This Row],[ItemsInCart]]&gt;=Sheet1[[#This Row],[Quantity]]), "Good", "Bad")</f>
        <v>Good</v>
      </c>
      <c r="Q1076" t="str">
        <f t="shared" si="80"/>
        <v>OK</v>
      </c>
      <c r="R1076" t="str">
        <f t="shared" si="81"/>
        <v>GOOD</v>
      </c>
      <c r="S1076">
        <f t="shared" si="82"/>
        <v>0</v>
      </c>
      <c r="T1076">
        <f t="shared" si="83"/>
        <v>0</v>
      </c>
      <c r="U1076" t="str">
        <f t="shared" si="84"/>
        <v>OK</v>
      </c>
    </row>
    <row r="1077" spans="1:21">
      <c r="A1077" t="s">
        <v>1089</v>
      </c>
      <c r="B1077" t="s">
        <v>4452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 t="str">
        <f>IF((Sheet1[[#This Row],[Quantity]]*Sheet1[[#This Row],[UnitPrice]])=(Sheet1[[#This Row],[TotalPrice]]), "True", "False")</f>
        <v>True</v>
      </c>
      <c r="P1077" t="str">
        <f>IF((Sheet1[[#This Row],[ItemsInCart]]&gt;=Sheet1[[#This Row],[Quantity]]), "Good", "Bad")</f>
        <v>Good</v>
      </c>
      <c r="Q1077" t="str">
        <f t="shared" si="80"/>
        <v>OK</v>
      </c>
      <c r="R1077" t="str">
        <f t="shared" si="81"/>
        <v>GOOD</v>
      </c>
      <c r="S1077">
        <f t="shared" si="82"/>
        <v>0</v>
      </c>
      <c r="T1077">
        <f t="shared" si="83"/>
        <v>0</v>
      </c>
      <c r="U1077" t="str">
        <f t="shared" si="84"/>
        <v>OK</v>
      </c>
    </row>
    <row r="1078" spans="1:21">
      <c r="A1078" t="s">
        <v>1090</v>
      </c>
      <c r="B1078" t="s">
        <v>4303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4961</v>
      </c>
      <c r="M1078" t="s">
        <v>4279</v>
      </c>
      <c r="N1078">
        <v>2746.44</v>
      </c>
      <c r="O1078" t="str">
        <f>IF((Sheet1[[#This Row],[Quantity]]*Sheet1[[#This Row],[UnitPrice]])=(Sheet1[[#This Row],[TotalPrice]]), "True", "False")</f>
        <v>True</v>
      </c>
      <c r="P1078" t="str">
        <f>IF((Sheet1[[#This Row],[ItemsInCart]]&gt;=Sheet1[[#This Row],[Quantity]]), "Good", "Bad")</f>
        <v>Good</v>
      </c>
      <c r="Q1078" t="str">
        <f t="shared" si="80"/>
        <v>OK</v>
      </c>
      <c r="R1078" t="str">
        <f t="shared" si="81"/>
        <v>GOOD</v>
      </c>
      <c r="S1078">
        <f t="shared" si="82"/>
        <v>0</v>
      </c>
      <c r="T1078">
        <f t="shared" si="83"/>
        <v>0</v>
      </c>
      <c r="U1078" t="str">
        <f t="shared" si="84"/>
        <v>OK</v>
      </c>
    </row>
    <row r="1079" spans="1:21">
      <c r="A1079" t="s">
        <v>1091</v>
      </c>
      <c r="B1079" t="s">
        <v>4739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 t="str">
        <f>IF((Sheet1[[#This Row],[Quantity]]*Sheet1[[#This Row],[UnitPrice]])=(Sheet1[[#This Row],[TotalPrice]]), "True", "False")</f>
        <v>True</v>
      </c>
      <c r="P1079" t="str">
        <f>IF((Sheet1[[#This Row],[ItemsInCart]]&gt;=Sheet1[[#This Row],[Quantity]]), "Good", "Bad")</f>
        <v>Good</v>
      </c>
      <c r="Q1079" t="str">
        <f t="shared" si="80"/>
        <v>OK</v>
      </c>
      <c r="R1079" t="str">
        <f t="shared" si="81"/>
        <v>BAD</v>
      </c>
      <c r="S1079">
        <f t="shared" si="82"/>
        <v>0</v>
      </c>
      <c r="T1079">
        <f t="shared" si="83"/>
        <v>1</v>
      </c>
      <c r="U1079" t="str">
        <f t="shared" si="84"/>
        <v>REVIEW_RETURN</v>
      </c>
    </row>
    <row r="1080" spans="1:21">
      <c r="A1080" t="s">
        <v>1092</v>
      </c>
      <c r="B1080" t="s">
        <v>4451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 t="str">
        <f>IF((Sheet1[[#This Row],[Quantity]]*Sheet1[[#This Row],[UnitPrice]])=(Sheet1[[#This Row],[TotalPrice]]), "True", "False")</f>
        <v>True</v>
      </c>
      <c r="P1080" t="str">
        <f>IF((Sheet1[[#This Row],[ItemsInCart]]&gt;=Sheet1[[#This Row],[Quantity]]), "Good", "Bad")</f>
        <v>Good</v>
      </c>
      <c r="Q1080" t="str">
        <f t="shared" si="80"/>
        <v>OK</v>
      </c>
      <c r="R1080" t="str">
        <f t="shared" si="81"/>
        <v>GOOD</v>
      </c>
      <c r="S1080">
        <f t="shared" si="82"/>
        <v>0</v>
      </c>
      <c r="T1080">
        <f t="shared" si="83"/>
        <v>0</v>
      </c>
      <c r="U1080" t="str">
        <f t="shared" si="84"/>
        <v>OK</v>
      </c>
    </row>
    <row r="1081" spans="1:21">
      <c r="A1081" t="s">
        <v>1093</v>
      </c>
      <c r="B1081" t="s">
        <v>4926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4961</v>
      </c>
      <c r="M1081" t="s">
        <v>4280</v>
      </c>
      <c r="N1081">
        <v>3170</v>
      </c>
      <c r="O1081" t="str">
        <f>IF((Sheet1[[#This Row],[Quantity]]*Sheet1[[#This Row],[UnitPrice]])=(Sheet1[[#This Row],[TotalPrice]]), "True", "False")</f>
        <v>True</v>
      </c>
      <c r="P1081" t="str">
        <f>IF((Sheet1[[#This Row],[ItemsInCart]]&gt;=Sheet1[[#This Row],[Quantity]]), "Good", "Bad")</f>
        <v>Good</v>
      </c>
      <c r="Q1081" t="str">
        <f t="shared" si="80"/>
        <v>OK</v>
      </c>
      <c r="R1081" t="str">
        <f t="shared" si="81"/>
        <v>GOOD</v>
      </c>
      <c r="S1081">
        <f t="shared" si="82"/>
        <v>0</v>
      </c>
      <c r="T1081">
        <f t="shared" si="83"/>
        <v>0</v>
      </c>
      <c r="U1081" t="str">
        <f t="shared" si="84"/>
        <v>OK</v>
      </c>
    </row>
    <row r="1082" spans="1:21">
      <c r="A1082" t="s">
        <v>1094</v>
      </c>
      <c r="B1082" t="s">
        <v>4608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4961</v>
      </c>
      <c r="M1082" t="s">
        <v>4279</v>
      </c>
      <c r="N1082">
        <v>2323.6999999999998</v>
      </c>
      <c r="O1082" t="str">
        <f>IF((Sheet1[[#This Row],[Quantity]]*Sheet1[[#This Row],[UnitPrice]])=(Sheet1[[#This Row],[TotalPrice]]), "True", "False")</f>
        <v>True</v>
      </c>
      <c r="P1082" t="str">
        <f>IF((Sheet1[[#This Row],[ItemsInCart]]&gt;=Sheet1[[#This Row],[Quantity]]), "Good", "Bad")</f>
        <v>Good</v>
      </c>
      <c r="Q1082" t="str">
        <f t="shared" si="80"/>
        <v>OK</v>
      </c>
      <c r="R1082" t="str">
        <f t="shared" si="81"/>
        <v>GOOD</v>
      </c>
      <c r="S1082">
        <f t="shared" si="82"/>
        <v>0</v>
      </c>
      <c r="T1082">
        <f t="shared" si="83"/>
        <v>0</v>
      </c>
      <c r="U1082" t="str">
        <f t="shared" si="84"/>
        <v>OK</v>
      </c>
    </row>
    <row r="1083" spans="1:21">
      <c r="A1083" t="s">
        <v>1095</v>
      </c>
      <c r="B1083" t="s">
        <v>4736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 t="str">
        <f>IF((Sheet1[[#This Row],[Quantity]]*Sheet1[[#This Row],[UnitPrice]])=(Sheet1[[#This Row],[TotalPrice]]), "True", "False")</f>
        <v>True</v>
      </c>
      <c r="P1083" t="str">
        <f>IF((Sheet1[[#This Row],[ItemsInCart]]&gt;=Sheet1[[#This Row],[Quantity]]), "Good", "Bad")</f>
        <v>Good</v>
      </c>
      <c r="Q1083" t="str">
        <f t="shared" si="80"/>
        <v>OK</v>
      </c>
      <c r="R1083" t="str">
        <f t="shared" si="81"/>
        <v>BAD</v>
      </c>
      <c r="S1083">
        <f t="shared" si="82"/>
        <v>0</v>
      </c>
      <c r="T1083">
        <f t="shared" si="83"/>
        <v>1</v>
      </c>
      <c r="U1083" t="str">
        <f t="shared" si="84"/>
        <v>DOCUMENTED</v>
      </c>
    </row>
    <row r="1084" spans="1:21">
      <c r="A1084" t="s">
        <v>1096</v>
      </c>
      <c r="B1084" t="s">
        <v>4709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 t="str">
        <f>IF((Sheet1[[#This Row],[Quantity]]*Sheet1[[#This Row],[UnitPrice]])=(Sheet1[[#This Row],[TotalPrice]]), "True", "False")</f>
        <v>True</v>
      </c>
      <c r="P1084" t="str">
        <f>IF((Sheet1[[#This Row],[ItemsInCart]]&gt;=Sheet1[[#This Row],[Quantity]]), "Good", "Bad")</f>
        <v>Good</v>
      </c>
      <c r="Q1084" t="str">
        <f t="shared" si="80"/>
        <v>OK</v>
      </c>
      <c r="R1084" t="str">
        <f t="shared" si="81"/>
        <v>BAD</v>
      </c>
      <c r="S1084">
        <f t="shared" si="82"/>
        <v>0</v>
      </c>
      <c r="T1084">
        <f t="shared" si="83"/>
        <v>1</v>
      </c>
      <c r="U1084" t="str">
        <f t="shared" si="84"/>
        <v>DOCUMENTED</v>
      </c>
    </row>
    <row r="1085" spans="1:21">
      <c r="A1085" t="s">
        <v>1097</v>
      </c>
      <c r="B1085" t="s">
        <v>4927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 t="str">
        <f>IF((Sheet1[[#This Row],[Quantity]]*Sheet1[[#This Row],[UnitPrice]])=(Sheet1[[#This Row],[TotalPrice]]), "True", "False")</f>
        <v>True</v>
      </c>
      <c r="P1085" t="str">
        <f>IF((Sheet1[[#This Row],[ItemsInCart]]&gt;=Sheet1[[#This Row],[Quantity]]), "Good", "Bad")</f>
        <v>Good</v>
      </c>
      <c r="Q1085" t="str">
        <f t="shared" si="80"/>
        <v>OK</v>
      </c>
      <c r="R1085" t="str">
        <f t="shared" si="81"/>
        <v>GOOD</v>
      </c>
      <c r="S1085">
        <f t="shared" si="82"/>
        <v>0</v>
      </c>
      <c r="T1085">
        <f t="shared" si="83"/>
        <v>0</v>
      </c>
      <c r="U1085" t="str">
        <f t="shared" si="84"/>
        <v>OK</v>
      </c>
    </row>
    <row r="1086" spans="1:21">
      <c r="A1086" t="s">
        <v>1098</v>
      </c>
      <c r="B1086" t="s">
        <v>4407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 t="str">
        <f>IF((Sheet1[[#This Row],[Quantity]]*Sheet1[[#This Row],[UnitPrice]])=(Sheet1[[#This Row],[TotalPrice]]), "True", "False")</f>
        <v>True</v>
      </c>
      <c r="P1086" t="str">
        <f>IF((Sheet1[[#This Row],[ItemsInCart]]&gt;=Sheet1[[#This Row],[Quantity]]), "Good", "Bad")</f>
        <v>Good</v>
      </c>
      <c r="Q1086" t="str">
        <f t="shared" si="80"/>
        <v>OK</v>
      </c>
      <c r="R1086" t="str">
        <f t="shared" si="81"/>
        <v>BAD</v>
      </c>
      <c r="S1086">
        <f t="shared" si="82"/>
        <v>0</v>
      </c>
      <c r="T1086">
        <f t="shared" si="83"/>
        <v>1</v>
      </c>
      <c r="U1086" t="str">
        <f t="shared" si="84"/>
        <v>DOCUMENTED</v>
      </c>
    </row>
    <row r="1087" spans="1:21">
      <c r="A1087" t="s">
        <v>1099</v>
      </c>
      <c r="B1087" t="s">
        <v>4337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 t="str">
        <f>IF((Sheet1[[#This Row],[Quantity]]*Sheet1[[#This Row],[UnitPrice]])=(Sheet1[[#This Row],[TotalPrice]]), "True", "False")</f>
        <v>True</v>
      </c>
      <c r="P1087" t="str">
        <f>IF((Sheet1[[#This Row],[ItemsInCart]]&gt;=Sheet1[[#This Row],[Quantity]]), "Good", "Bad")</f>
        <v>Good</v>
      </c>
      <c r="Q1087" t="str">
        <f t="shared" si="80"/>
        <v>OK</v>
      </c>
      <c r="R1087" t="str">
        <f t="shared" si="81"/>
        <v>GOOD</v>
      </c>
      <c r="S1087">
        <f t="shared" si="82"/>
        <v>0</v>
      </c>
      <c r="T1087">
        <f t="shared" si="83"/>
        <v>0</v>
      </c>
      <c r="U1087" t="str">
        <f t="shared" si="84"/>
        <v>OK</v>
      </c>
    </row>
    <row r="1088" spans="1:21">
      <c r="A1088" t="s">
        <v>1100</v>
      </c>
      <c r="B1088" t="s">
        <v>4758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 t="str">
        <f>IF((Sheet1[[#This Row],[Quantity]]*Sheet1[[#This Row],[UnitPrice]])=(Sheet1[[#This Row],[TotalPrice]]), "True", "False")</f>
        <v>True</v>
      </c>
      <c r="P1088" t="str">
        <f>IF((Sheet1[[#This Row],[ItemsInCart]]&gt;=Sheet1[[#This Row],[Quantity]]), "Good", "Bad")</f>
        <v>Good</v>
      </c>
      <c r="Q1088" t="str">
        <f t="shared" si="80"/>
        <v>OK</v>
      </c>
      <c r="R1088" t="str">
        <f t="shared" si="81"/>
        <v>BAD</v>
      </c>
      <c r="S1088">
        <f t="shared" si="82"/>
        <v>0</v>
      </c>
      <c r="T1088">
        <f t="shared" si="83"/>
        <v>1</v>
      </c>
      <c r="U1088" t="str">
        <f t="shared" si="84"/>
        <v>DOCUMENTED</v>
      </c>
    </row>
    <row r="1089" spans="1:21">
      <c r="A1089" t="s">
        <v>1101</v>
      </c>
      <c r="B1089" t="s">
        <v>4694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 t="str">
        <f>IF((Sheet1[[#This Row],[Quantity]]*Sheet1[[#This Row],[UnitPrice]])=(Sheet1[[#This Row],[TotalPrice]]), "True", "False")</f>
        <v>True</v>
      </c>
      <c r="P1089" t="str">
        <f>IF((Sheet1[[#This Row],[ItemsInCart]]&gt;=Sheet1[[#This Row],[Quantity]]), "Good", "Bad")</f>
        <v>Good</v>
      </c>
      <c r="Q1089" t="str">
        <f t="shared" si="80"/>
        <v>OK</v>
      </c>
      <c r="R1089" t="str">
        <f t="shared" si="81"/>
        <v>GOOD</v>
      </c>
      <c r="S1089">
        <f t="shared" si="82"/>
        <v>0</v>
      </c>
      <c r="T1089">
        <f t="shared" si="83"/>
        <v>0</v>
      </c>
      <c r="U1089" t="str">
        <f t="shared" si="84"/>
        <v>OK</v>
      </c>
    </row>
    <row r="1090" spans="1:21">
      <c r="A1090" t="s">
        <v>1102</v>
      </c>
      <c r="B1090" t="s">
        <v>4398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 t="str">
        <f>IF((Sheet1[[#This Row],[Quantity]]*Sheet1[[#This Row],[UnitPrice]])=(Sheet1[[#This Row],[TotalPrice]]), "True", "False")</f>
        <v>True</v>
      </c>
      <c r="P1090" t="str">
        <f>IF((Sheet1[[#This Row],[ItemsInCart]]&gt;=Sheet1[[#This Row],[Quantity]]), "Good", "Bad")</f>
        <v>Good</v>
      </c>
      <c r="Q1090" t="str">
        <f t="shared" ref="Q1090:Q1153" si="85">IF(AND(E1090&gt;0, F1090&gt;0,N1090&gt;0),"OK","INVALID")</f>
        <v>OK</v>
      </c>
      <c r="R1090" t="str">
        <f t="shared" ref="R1090:R1153" si="86">IF(OR(AND(OR(I1090="Shipped",I1090="Delivered",I1090="Returned"),J1090=""),AND(OR(I1090="Processing",I1090="Pending",I1090="Cancelled"),J1090&lt;&gt;"")),"BAD","GOOD")</f>
        <v>GOOD</v>
      </c>
      <c r="S1090">
        <f t="shared" ref="S1090:S1153" si="87">IF(AND(OR(I1090="Shipped",I1090="Delivered",I1090="Returned"),J1090=""),1,0)</f>
        <v>0</v>
      </c>
      <c r="T1090">
        <f t="shared" ref="T1090:T1153" si="88">IF(AND(OR(I1090="Processing",I1090="Pending",I1090="Cancelled"),J1090&lt;&gt;""),1,0)</f>
        <v>0</v>
      </c>
      <c r="U1090" t="str">
        <f t="shared" ref="U1090:U1153" si="89">IF(AND(OR(I1090="Shipped",I1090="Delivered"),J1090=""),"MISSING_TRACKING", IF(AND(OR(I1090="Processing",I1090="Pending"),J1090&lt;&gt;""),"DOCUMENTED", IF(AND(I1090="Cancelled",J1090&lt;&gt;""), "REVIEW_RETURN", "OK")))</f>
        <v>OK</v>
      </c>
    </row>
    <row r="1091" spans="1:21">
      <c r="A1091" t="s">
        <v>1103</v>
      </c>
      <c r="B1091" t="s">
        <v>4458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4961</v>
      </c>
      <c r="M1091" t="s">
        <v>4278</v>
      </c>
      <c r="N1091">
        <v>1199.48</v>
      </c>
      <c r="O1091" t="str">
        <f>IF((Sheet1[[#This Row],[Quantity]]*Sheet1[[#This Row],[UnitPrice]])=(Sheet1[[#This Row],[TotalPrice]]), "True", "False")</f>
        <v>True</v>
      </c>
      <c r="P1091" t="str">
        <f>IF((Sheet1[[#This Row],[ItemsInCart]]&gt;=Sheet1[[#This Row],[Quantity]]), "Good", "Bad")</f>
        <v>Good</v>
      </c>
      <c r="Q1091" t="str">
        <f t="shared" si="85"/>
        <v>OK</v>
      </c>
      <c r="R1091" t="str">
        <f t="shared" si="86"/>
        <v>GOOD</v>
      </c>
      <c r="S1091">
        <f t="shared" si="87"/>
        <v>0</v>
      </c>
      <c r="T1091">
        <f t="shared" si="88"/>
        <v>0</v>
      </c>
      <c r="U1091" t="str">
        <f t="shared" si="89"/>
        <v>OK</v>
      </c>
    </row>
    <row r="1092" spans="1:21">
      <c r="A1092" t="s">
        <v>1104</v>
      </c>
      <c r="B1092" t="s">
        <v>4924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4961</v>
      </c>
      <c r="M1092" t="s">
        <v>4278</v>
      </c>
      <c r="N1092">
        <v>1300.5</v>
      </c>
      <c r="O1092" t="str">
        <f>IF((Sheet1[[#This Row],[Quantity]]*Sheet1[[#This Row],[UnitPrice]])=(Sheet1[[#This Row],[TotalPrice]]), "True", "False")</f>
        <v>True</v>
      </c>
      <c r="P1092" t="str">
        <f>IF((Sheet1[[#This Row],[ItemsInCart]]&gt;=Sheet1[[#This Row],[Quantity]]), "Good", "Bad")</f>
        <v>Good</v>
      </c>
      <c r="Q1092" t="str">
        <f t="shared" si="85"/>
        <v>OK</v>
      </c>
      <c r="R1092" t="str">
        <f t="shared" si="86"/>
        <v>GOOD</v>
      </c>
      <c r="S1092">
        <f t="shared" si="87"/>
        <v>0</v>
      </c>
      <c r="T1092">
        <f t="shared" si="88"/>
        <v>0</v>
      </c>
      <c r="U1092" t="str">
        <f t="shared" si="89"/>
        <v>OK</v>
      </c>
    </row>
    <row r="1093" spans="1:21">
      <c r="A1093" t="s">
        <v>1105</v>
      </c>
      <c r="B1093" t="s">
        <v>4475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4961</v>
      </c>
      <c r="M1093" t="s">
        <v>4280</v>
      </c>
      <c r="N1093">
        <v>628.43999999999994</v>
      </c>
      <c r="O1093" t="str">
        <f>IF((Sheet1[[#This Row],[Quantity]]*Sheet1[[#This Row],[UnitPrice]])=(Sheet1[[#This Row],[TotalPrice]]), "True", "False")</f>
        <v>True</v>
      </c>
      <c r="P1093" t="str">
        <f>IF((Sheet1[[#This Row],[ItemsInCart]]&gt;=Sheet1[[#This Row],[Quantity]]), "Good", "Bad")</f>
        <v>Good</v>
      </c>
      <c r="Q1093" t="str">
        <f t="shared" si="85"/>
        <v>OK</v>
      </c>
      <c r="R1093" t="str">
        <f t="shared" si="86"/>
        <v>BAD</v>
      </c>
      <c r="S1093">
        <f t="shared" si="87"/>
        <v>0</v>
      </c>
      <c r="T1093">
        <f t="shared" si="88"/>
        <v>1</v>
      </c>
      <c r="U1093" t="str">
        <f t="shared" si="89"/>
        <v>DOCUMENTED</v>
      </c>
    </row>
    <row r="1094" spans="1:21">
      <c r="A1094" t="s">
        <v>1106</v>
      </c>
      <c r="B1094" t="s">
        <v>4814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 t="str">
        <f>IF((Sheet1[[#This Row],[Quantity]]*Sheet1[[#This Row],[UnitPrice]])=(Sheet1[[#This Row],[TotalPrice]]), "True", "False")</f>
        <v>True</v>
      </c>
      <c r="P1094" t="str">
        <f>IF((Sheet1[[#This Row],[ItemsInCart]]&gt;=Sheet1[[#This Row],[Quantity]]), "Good", "Bad")</f>
        <v>Good</v>
      </c>
      <c r="Q1094" t="str">
        <f t="shared" si="85"/>
        <v>OK</v>
      </c>
      <c r="R1094" t="str">
        <f t="shared" si="86"/>
        <v>GOOD</v>
      </c>
      <c r="S1094">
        <f t="shared" si="87"/>
        <v>0</v>
      </c>
      <c r="T1094">
        <f t="shared" si="88"/>
        <v>0</v>
      </c>
      <c r="U1094" t="str">
        <f t="shared" si="89"/>
        <v>OK</v>
      </c>
    </row>
    <row r="1095" spans="1:21">
      <c r="A1095" t="s">
        <v>1107</v>
      </c>
      <c r="B1095" t="s">
        <v>4591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 t="str">
        <f>IF((Sheet1[[#This Row],[Quantity]]*Sheet1[[#This Row],[UnitPrice]])=(Sheet1[[#This Row],[TotalPrice]]), "True", "False")</f>
        <v>True</v>
      </c>
      <c r="P1095" t="str">
        <f>IF((Sheet1[[#This Row],[ItemsInCart]]&gt;=Sheet1[[#This Row],[Quantity]]), "Good", "Bad")</f>
        <v>Good</v>
      </c>
      <c r="Q1095" t="str">
        <f t="shared" si="85"/>
        <v>OK</v>
      </c>
      <c r="R1095" t="str">
        <f t="shared" si="86"/>
        <v>GOOD</v>
      </c>
      <c r="S1095">
        <f t="shared" si="87"/>
        <v>0</v>
      </c>
      <c r="T1095">
        <f t="shared" si="88"/>
        <v>0</v>
      </c>
      <c r="U1095" t="str">
        <f t="shared" si="89"/>
        <v>OK</v>
      </c>
    </row>
    <row r="1096" spans="1:21">
      <c r="A1096" t="s">
        <v>1108</v>
      </c>
      <c r="B1096" t="s">
        <v>4625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 t="str">
        <f>IF((Sheet1[[#This Row],[Quantity]]*Sheet1[[#This Row],[UnitPrice]])=(Sheet1[[#This Row],[TotalPrice]]), "True", "False")</f>
        <v>True</v>
      </c>
      <c r="P1096" t="str">
        <f>IF((Sheet1[[#This Row],[ItemsInCart]]&gt;=Sheet1[[#This Row],[Quantity]]), "Good", "Bad")</f>
        <v>Good</v>
      </c>
      <c r="Q1096" t="str">
        <f t="shared" si="85"/>
        <v>OK</v>
      </c>
      <c r="R1096" t="str">
        <f t="shared" si="86"/>
        <v>GOOD</v>
      </c>
      <c r="S1096">
        <f t="shared" si="87"/>
        <v>0</v>
      </c>
      <c r="T1096">
        <f t="shared" si="88"/>
        <v>0</v>
      </c>
      <c r="U1096" t="str">
        <f t="shared" si="89"/>
        <v>OK</v>
      </c>
    </row>
    <row r="1097" spans="1:21">
      <c r="A1097" t="s">
        <v>1109</v>
      </c>
      <c r="B1097" t="s">
        <v>4517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 t="str">
        <f>IF((Sheet1[[#This Row],[Quantity]]*Sheet1[[#This Row],[UnitPrice]])=(Sheet1[[#This Row],[TotalPrice]]), "True", "False")</f>
        <v>True</v>
      </c>
      <c r="P1097" t="str">
        <f>IF((Sheet1[[#This Row],[ItemsInCart]]&gt;=Sheet1[[#This Row],[Quantity]]), "Good", "Bad")</f>
        <v>Good</v>
      </c>
      <c r="Q1097" t="str">
        <f t="shared" si="85"/>
        <v>OK</v>
      </c>
      <c r="R1097" t="str">
        <f t="shared" si="86"/>
        <v>GOOD</v>
      </c>
      <c r="S1097">
        <f t="shared" si="87"/>
        <v>0</v>
      </c>
      <c r="T1097">
        <f t="shared" si="88"/>
        <v>0</v>
      </c>
      <c r="U1097" t="str">
        <f t="shared" si="89"/>
        <v>OK</v>
      </c>
    </row>
    <row r="1098" spans="1:21">
      <c r="A1098" t="s">
        <v>1110</v>
      </c>
      <c r="B1098" t="s">
        <v>4403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4961</v>
      </c>
      <c r="M1098" t="s">
        <v>4281</v>
      </c>
      <c r="N1098">
        <v>929.84</v>
      </c>
      <c r="O1098" t="str">
        <f>IF((Sheet1[[#This Row],[Quantity]]*Sheet1[[#This Row],[UnitPrice]])=(Sheet1[[#This Row],[TotalPrice]]), "True", "False")</f>
        <v>True</v>
      </c>
      <c r="P1098" t="str">
        <f>IF((Sheet1[[#This Row],[ItemsInCart]]&gt;=Sheet1[[#This Row],[Quantity]]), "Good", "Bad")</f>
        <v>Good</v>
      </c>
      <c r="Q1098" t="str">
        <f t="shared" si="85"/>
        <v>OK</v>
      </c>
      <c r="R1098" t="str">
        <f t="shared" si="86"/>
        <v>GOOD</v>
      </c>
      <c r="S1098">
        <f t="shared" si="87"/>
        <v>0</v>
      </c>
      <c r="T1098">
        <f t="shared" si="88"/>
        <v>0</v>
      </c>
      <c r="U1098" t="str">
        <f t="shared" si="89"/>
        <v>OK</v>
      </c>
    </row>
    <row r="1099" spans="1:21">
      <c r="A1099" t="s">
        <v>1111</v>
      </c>
      <c r="B1099" t="s">
        <v>4928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 t="str">
        <f>IF((Sheet1[[#This Row],[Quantity]]*Sheet1[[#This Row],[UnitPrice]])=(Sheet1[[#This Row],[TotalPrice]]), "True", "False")</f>
        <v>True</v>
      </c>
      <c r="P1099" t="str">
        <f>IF((Sheet1[[#This Row],[ItemsInCart]]&gt;=Sheet1[[#This Row],[Quantity]]), "Good", "Bad")</f>
        <v>Good</v>
      </c>
      <c r="Q1099" t="str">
        <f t="shared" si="85"/>
        <v>OK</v>
      </c>
      <c r="R1099" t="str">
        <f t="shared" si="86"/>
        <v>GOOD</v>
      </c>
      <c r="S1099">
        <f t="shared" si="87"/>
        <v>0</v>
      </c>
      <c r="T1099">
        <f t="shared" si="88"/>
        <v>0</v>
      </c>
      <c r="U1099" t="str">
        <f t="shared" si="89"/>
        <v>OK</v>
      </c>
    </row>
    <row r="1100" spans="1:21">
      <c r="A1100" t="s">
        <v>1112</v>
      </c>
      <c r="B1100" t="s">
        <v>4929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4961</v>
      </c>
      <c r="M1100" t="s">
        <v>4280</v>
      </c>
      <c r="N1100">
        <v>1023.44</v>
      </c>
      <c r="O1100" t="str">
        <f>IF((Sheet1[[#This Row],[Quantity]]*Sheet1[[#This Row],[UnitPrice]])=(Sheet1[[#This Row],[TotalPrice]]), "True", "False")</f>
        <v>True</v>
      </c>
      <c r="P1100" t="str">
        <f>IF((Sheet1[[#This Row],[ItemsInCart]]&gt;=Sheet1[[#This Row],[Quantity]]), "Good", "Bad")</f>
        <v>Good</v>
      </c>
      <c r="Q1100" t="str">
        <f t="shared" si="85"/>
        <v>OK</v>
      </c>
      <c r="R1100" t="str">
        <f t="shared" si="86"/>
        <v>GOOD</v>
      </c>
      <c r="S1100">
        <f t="shared" si="87"/>
        <v>0</v>
      </c>
      <c r="T1100">
        <f t="shared" si="88"/>
        <v>0</v>
      </c>
      <c r="U1100" t="str">
        <f t="shared" si="89"/>
        <v>OK</v>
      </c>
    </row>
    <row r="1101" spans="1:21">
      <c r="A1101" t="s">
        <v>1113</v>
      </c>
      <c r="B1101" t="s">
        <v>4839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 t="str">
        <f>IF((Sheet1[[#This Row],[Quantity]]*Sheet1[[#This Row],[UnitPrice]])=(Sheet1[[#This Row],[TotalPrice]]), "True", "False")</f>
        <v>True</v>
      </c>
      <c r="P1101" t="str">
        <f>IF((Sheet1[[#This Row],[ItemsInCart]]&gt;=Sheet1[[#This Row],[Quantity]]), "Good", "Bad")</f>
        <v>Good</v>
      </c>
      <c r="Q1101" t="str">
        <f t="shared" si="85"/>
        <v>OK</v>
      </c>
      <c r="R1101" t="str">
        <f t="shared" si="86"/>
        <v>BAD</v>
      </c>
      <c r="S1101">
        <f t="shared" si="87"/>
        <v>0</v>
      </c>
      <c r="T1101">
        <f t="shared" si="88"/>
        <v>1</v>
      </c>
      <c r="U1101" t="str">
        <f t="shared" si="89"/>
        <v>REVIEW_RETURN</v>
      </c>
    </row>
    <row r="1102" spans="1:21">
      <c r="A1102" t="s">
        <v>1114</v>
      </c>
      <c r="B1102" t="s">
        <v>4821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 t="str">
        <f>IF((Sheet1[[#This Row],[Quantity]]*Sheet1[[#This Row],[UnitPrice]])=(Sheet1[[#This Row],[TotalPrice]]), "True", "False")</f>
        <v>True</v>
      </c>
      <c r="P1102" t="str">
        <f>IF((Sheet1[[#This Row],[ItemsInCart]]&gt;=Sheet1[[#This Row],[Quantity]]), "Good", "Bad")</f>
        <v>Good</v>
      </c>
      <c r="Q1102" t="str">
        <f t="shared" si="85"/>
        <v>OK</v>
      </c>
      <c r="R1102" t="str">
        <f t="shared" si="86"/>
        <v>BAD</v>
      </c>
      <c r="S1102">
        <f t="shared" si="87"/>
        <v>0</v>
      </c>
      <c r="T1102">
        <f t="shared" si="88"/>
        <v>1</v>
      </c>
      <c r="U1102" t="str">
        <f t="shared" si="89"/>
        <v>REVIEW_RETURN</v>
      </c>
    </row>
    <row r="1103" spans="1:21">
      <c r="A1103" t="s">
        <v>1115</v>
      </c>
      <c r="B1103" t="s">
        <v>4930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 t="str">
        <f>IF((Sheet1[[#This Row],[Quantity]]*Sheet1[[#This Row],[UnitPrice]])=(Sheet1[[#This Row],[TotalPrice]]), "True", "False")</f>
        <v>True</v>
      </c>
      <c r="P1103" t="str">
        <f>IF((Sheet1[[#This Row],[ItemsInCart]]&gt;=Sheet1[[#This Row],[Quantity]]), "Good", "Bad")</f>
        <v>Good</v>
      </c>
      <c r="Q1103" t="str">
        <f t="shared" si="85"/>
        <v>OK</v>
      </c>
      <c r="R1103" t="str">
        <f t="shared" si="86"/>
        <v>BAD</v>
      </c>
      <c r="S1103">
        <f t="shared" si="87"/>
        <v>0</v>
      </c>
      <c r="T1103">
        <f t="shared" si="88"/>
        <v>1</v>
      </c>
      <c r="U1103" t="str">
        <f t="shared" si="89"/>
        <v>DOCUMENTED</v>
      </c>
    </row>
    <row r="1104" spans="1:21">
      <c r="A1104" t="s">
        <v>1116</v>
      </c>
      <c r="B1104" t="s">
        <v>4844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4961</v>
      </c>
      <c r="M1104" t="s">
        <v>4278</v>
      </c>
      <c r="N1104">
        <v>1388.68</v>
      </c>
      <c r="O1104" t="str">
        <f>IF((Sheet1[[#This Row],[Quantity]]*Sheet1[[#This Row],[UnitPrice]])=(Sheet1[[#This Row],[TotalPrice]]), "True", "False")</f>
        <v>True</v>
      </c>
      <c r="P1104" t="str">
        <f>IF((Sheet1[[#This Row],[ItemsInCart]]&gt;=Sheet1[[#This Row],[Quantity]]), "Good", "Bad")</f>
        <v>Good</v>
      </c>
      <c r="Q1104" t="str">
        <f t="shared" si="85"/>
        <v>OK</v>
      </c>
      <c r="R1104" t="str">
        <f t="shared" si="86"/>
        <v>GOOD</v>
      </c>
      <c r="S1104">
        <f t="shared" si="87"/>
        <v>0</v>
      </c>
      <c r="T1104">
        <f t="shared" si="88"/>
        <v>0</v>
      </c>
      <c r="U1104" t="str">
        <f t="shared" si="89"/>
        <v>OK</v>
      </c>
    </row>
    <row r="1105" spans="1:21">
      <c r="A1105" t="s">
        <v>1117</v>
      </c>
      <c r="B1105" t="s">
        <v>4931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4961</v>
      </c>
      <c r="M1105" t="s">
        <v>4282</v>
      </c>
      <c r="N1105">
        <v>1105.28</v>
      </c>
      <c r="O1105" t="str">
        <f>IF((Sheet1[[#This Row],[Quantity]]*Sheet1[[#This Row],[UnitPrice]])=(Sheet1[[#This Row],[TotalPrice]]), "True", "False")</f>
        <v>True</v>
      </c>
      <c r="P1105" t="str">
        <f>IF((Sheet1[[#This Row],[ItemsInCart]]&gt;=Sheet1[[#This Row],[Quantity]]), "Good", "Bad")</f>
        <v>Good</v>
      </c>
      <c r="Q1105" t="str">
        <f t="shared" si="85"/>
        <v>OK</v>
      </c>
      <c r="R1105" t="str">
        <f t="shared" si="86"/>
        <v>GOOD</v>
      </c>
      <c r="S1105">
        <f t="shared" si="87"/>
        <v>0</v>
      </c>
      <c r="T1105">
        <f t="shared" si="88"/>
        <v>0</v>
      </c>
      <c r="U1105" t="str">
        <f t="shared" si="89"/>
        <v>OK</v>
      </c>
    </row>
    <row r="1106" spans="1:21">
      <c r="A1106" t="s">
        <v>1118</v>
      </c>
      <c r="B1106" t="s">
        <v>4851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4961</v>
      </c>
      <c r="M1106" t="s">
        <v>4278</v>
      </c>
      <c r="N1106">
        <v>1259.04</v>
      </c>
      <c r="O1106" t="str">
        <f>IF((Sheet1[[#This Row],[Quantity]]*Sheet1[[#This Row],[UnitPrice]])=(Sheet1[[#This Row],[TotalPrice]]), "True", "False")</f>
        <v>True</v>
      </c>
      <c r="P1106" t="str">
        <f>IF((Sheet1[[#This Row],[ItemsInCart]]&gt;=Sheet1[[#This Row],[Quantity]]), "Good", "Bad")</f>
        <v>Good</v>
      </c>
      <c r="Q1106" t="str">
        <f t="shared" si="85"/>
        <v>OK</v>
      </c>
      <c r="R1106" t="str">
        <f t="shared" si="86"/>
        <v>GOOD</v>
      </c>
      <c r="S1106">
        <f t="shared" si="87"/>
        <v>0</v>
      </c>
      <c r="T1106">
        <f t="shared" si="88"/>
        <v>0</v>
      </c>
      <c r="U1106" t="str">
        <f t="shared" si="89"/>
        <v>OK</v>
      </c>
    </row>
    <row r="1107" spans="1:21">
      <c r="A1107" t="s">
        <v>1119</v>
      </c>
      <c r="B1107" t="s">
        <v>4932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 t="str">
        <f>IF((Sheet1[[#This Row],[Quantity]]*Sheet1[[#This Row],[UnitPrice]])=(Sheet1[[#This Row],[TotalPrice]]), "True", "False")</f>
        <v>True</v>
      </c>
      <c r="P1107" t="str">
        <f>IF((Sheet1[[#This Row],[ItemsInCart]]&gt;=Sheet1[[#This Row],[Quantity]]), "Good", "Bad")</f>
        <v>Good</v>
      </c>
      <c r="Q1107" t="str">
        <f t="shared" si="85"/>
        <v>OK</v>
      </c>
      <c r="R1107" t="str">
        <f t="shared" si="86"/>
        <v>BAD</v>
      </c>
      <c r="S1107">
        <f t="shared" si="87"/>
        <v>0</v>
      </c>
      <c r="T1107">
        <f t="shared" si="88"/>
        <v>1</v>
      </c>
      <c r="U1107" t="str">
        <f t="shared" si="89"/>
        <v>REVIEW_RETURN</v>
      </c>
    </row>
    <row r="1108" spans="1:21">
      <c r="A1108" t="s">
        <v>1120</v>
      </c>
      <c r="B1108" t="s">
        <v>4538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 t="str">
        <f>IF((Sheet1[[#This Row],[Quantity]]*Sheet1[[#This Row],[UnitPrice]])=(Sheet1[[#This Row],[TotalPrice]]), "True", "False")</f>
        <v>True</v>
      </c>
      <c r="P1108" t="str">
        <f>IF((Sheet1[[#This Row],[ItemsInCart]]&gt;=Sheet1[[#This Row],[Quantity]]), "Good", "Bad")</f>
        <v>Good</v>
      </c>
      <c r="Q1108" t="str">
        <f t="shared" si="85"/>
        <v>OK</v>
      </c>
      <c r="R1108" t="str">
        <f t="shared" si="86"/>
        <v>BAD</v>
      </c>
      <c r="S1108">
        <f t="shared" si="87"/>
        <v>0</v>
      </c>
      <c r="T1108">
        <f t="shared" si="88"/>
        <v>1</v>
      </c>
      <c r="U1108" t="str">
        <f t="shared" si="89"/>
        <v>REVIEW_RETURN</v>
      </c>
    </row>
    <row r="1109" spans="1:21">
      <c r="A1109" t="s">
        <v>1121</v>
      </c>
      <c r="B1109" t="s">
        <v>4516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 t="str">
        <f>IF((Sheet1[[#This Row],[Quantity]]*Sheet1[[#This Row],[UnitPrice]])=(Sheet1[[#This Row],[TotalPrice]]), "True", "False")</f>
        <v>True</v>
      </c>
      <c r="P1109" t="str">
        <f>IF((Sheet1[[#This Row],[ItemsInCart]]&gt;=Sheet1[[#This Row],[Quantity]]), "Good", "Bad")</f>
        <v>Good</v>
      </c>
      <c r="Q1109" t="str">
        <f t="shared" si="85"/>
        <v>OK</v>
      </c>
      <c r="R1109" t="str">
        <f t="shared" si="86"/>
        <v>BAD</v>
      </c>
      <c r="S1109">
        <f t="shared" si="87"/>
        <v>0</v>
      </c>
      <c r="T1109">
        <f t="shared" si="88"/>
        <v>1</v>
      </c>
      <c r="U1109" t="str">
        <f t="shared" si="89"/>
        <v>REVIEW_RETURN</v>
      </c>
    </row>
    <row r="1110" spans="1:21">
      <c r="A1110" t="s">
        <v>1122</v>
      </c>
      <c r="B1110" t="s">
        <v>4933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 t="str">
        <f>IF((Sheet1[[#This Row],[Quantity]]*Sheet1[[#This Row],[UnitPrice]])=(Sheet1[[#This Row],[TotalPrice]]), "True", "False")</f>
        <v>True</v>
      </c>
      <c r="P1110" t="str">
        <f>IF((Sheet1[[#This Row],[ItemsInCart]]&gt;=Sheet1[[#This Row],[Quantity]]), "Good", "Bad")</f>
        <v>Good</v>
      </c>
      <c r="Q1110" t="str">
        <f t="shared" si="85"/>
        <v>OK</v>
      </c>
      <c r="R1110" t="str">
        <f t="shared" si="86"/>
        <v>BAD</v>
      </c>
      <c r="S1110">
        <f t="shared" si="87"/>
        <v>0</v>
      </c>
      <c r="T1110">
        <f t="shared" si="88"/>
        <v>1</v>
      </c>
      <c r="U1110" t="str">
        <f t="shared" si="89"/>
        <v>REVIEW_RETURN</v>
      </c>
    </row>
    <row r="1111" spans="1:21">
      <c r="A1111" t="s">
        <v>1123</v>
      </c>
      <c r="B1111" t="s">
        <v>4934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 t="str">
        <f>IF((Sheet1[[#This Row],[Quantity]]*Sheet1[[#This Row],[UnitPrice]])=(Sheet1[[#This Row],[TotalPrice]]), "True", "False")</f>
        <v>True</v>
      </c>
      <c r="P1111" t="str">
        <f>IF((Sheet1[[#This Row],[ItemsInCart]]&gt;=Sheet1[[#This Row],[Quantity]]), "Good", "Bad")</f>
        <v>Good</v>
      </c>
      <c r="Q1111" t="str">
        <f t="shared" si="85"/>
        <v>OK</v>
      </c>
      <c r="R1111" t="str">
        <f t="shared" si="86"/>
        <v>GOOD</v>
      </c>
      <c r="S1111">
        <f t="shared" si="87"/>
        <v>0</v>
      </c>
      <c r="T1111">
        <f t="shared" si="88"/>
        <v>0</v>
      </c>
      <c r="U1111" t="str">
        <f t="shared" si="89"/>
        <v>OK</v>
      </c>
    </row>
    <row r="1112" spans="1:21">
      <c r="A1112" t="s">
        <v>1124</v>
      </c>
      <c r="B1112" t="s">
        <v>4685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 t="str">
        <f>IF((Sheet1[[#This Row],[Quantity]]*Sheet1[[#This Row],[UnitPrice]])=(Sheet1[[#This Row],[TotalPrice]]), "True", "False")</f>
        <v>True</v>
      </c>
      <c r="P1112" t="str">
        <f>IF((Sheet1[[#This Row],[ItemsInCart]]&gt;=Sheet1[[#This Row],[Quantity]]), "Good", "Bad")</f>
        <v>Good</v>
      </c>
      <c r="Q1112" t="str">
        <f t="shared" si="85"/>
        <v>OK</v>
      </c>
      <c r="R1112" t="str">
        <f t="shared" si="86"/>
        <v>GOOD</v>
      </c>
      <c r="S1112">
        <f t="shared" si="87"/>
        <v>0</v>
      </c>
      <c r="T1112">
        <f t="shared" si="88"/>
        <v>0</v>
      </c>
      <c r="U1112" t="str">
        <f t="shared" si="89"/>
        <v>OK</v>
      </c>
    </row>
    <row r="1113" spans="1:21">
      <c r="A1113" t="s">
        <v>1125</v>
      </c>
      <c r="B1113" t="s">
        <v>4589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 t="str">
        <f>IF((Sheet1[[#This Row],[Quantity]]*Sheet1[[#This Row],[UnitPrice]])=(Sheet1[[#This Row],[TotalPrice]]), "True", "False")</f>
        <v>True</v>
      </c>
      <c r="P1113" t="str">
        <f>IF((Sheet1[[#This Row],[ItemsInCart]]&gt;=Sheet1[[#This Row],[Quantity]]), "Good", "Bad")</f>
        <v>Good</v>
      </c>
      <c r="Q1113" t="str">
        <f t="shared" si="85"/>
        <v>OK</v>
      </c>
      <c r="R1113" t="str">
        <f t="shared" si="86"/>
        <v>BAD</v>
      </c>
      <c r="S1113">
        <f t="shared" si="87"/>
        <v>0</v>
      </c>
      <c r="T1113">
        <f t="shared" si="88"/>
        <v>1</v>
      </c>
      <c r="U1113" t="str">
        <f t="shared" si="89"/>
        <v>REVIEW_RETURN</v>
      </c>
    </row>
    <row r="1114" spans="1:21">
      <c r="A1114" t="s">
        <v>1126</v>
      </c>
      <c r="B1114" t="s">
        <v>4935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 t="str">
        <f>IF((Sheet1[[#This Row],[Quantity]]*Sheet1[[#This Row],[UnitPrice]])=(Sheet1[[#This Row],[TotalPrice]]), "True", "False")</f>
        <v>True</v>
      </c>
      <c r="P1114" t="str">
        <f>IF((Sheet1[[#This Row],[ItemsInCart]]&gt;=Sheet1[[#This Row],[Quantity]]), "Good", "Bad")</f>
        <v>Good</v>
      </c>
      <c r="Q1114" t="str">
        <f t="shared" si="85"/>
        <v>OK</v>
      </c>
      <c r="R1114" t="str">
        <f t="shared" si="86"/>
        <v>GOOD</v>
      </c>
      <c r="S1114">
        <f t="shared" si="87"/>
        <v>0</v>
      </c>
      <c r="T1114">
        <f t="shared" si="88"/>
        <v>0</v>
      </c>
      <c r="U1114" t="str">
        <f t="shared" si="89"/>
        <v>OK</v>
      </c>
    </row>
    <row r="1115" spans="1:21">
      <c r="A1115" t="s">
        <v>1127</v>
      </c>
      <c r="B1115" t="s">
        <v>4394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4961</v>
      </c>
      <c r="M1115" t="s">
        <v>4282</v>
      </c>
      <c r="N1115">
        <v>839.96</v>
      </c>
      <c r="O1115" t="str">
        <f>IF((Sheet1[[#This Row],[Quantity]]*Sheet1[[#This Row],[UnitPrice]])=(Sheet1[[#This Row],[TotalPrice]]), "True", "False")</f>
        <v>True</v>
      </c>
      <c r="P1115" t="str">
        <f>IF((Sheet1[[#This Row],[ItemsInCart]]&gt;=Sheet1[[#This Row],[Quantity]]), "Good", "Bad")</f>
        <v>Good</v>
      </c>
      <c r="Q1115" t="str">
        <f t="shared" si="85"/>
        <v>OK</v>
      </c>
      <c r="R1115" t="str">
        <f t="shared" si="86"/>
        <v>GOOD</v>
      </c>
      <c r="S1115">
        <f t="shared" si="87"/>
        <v>0</v>
      </c>
      <c r="T1115">
        <f t="shared" si="88"/>
        <v>0</v>
      </c>
      <c r="U1115" t="str">
        <f t="shared" si="89"/>
        <v>OK</v>
      </c>
    </row>
    <row r="1116" spans="1:21">
      <c r="A1116" t="s">
        <v>1128</v>
      </c>
      <c r="B1116" t="s">
        <v>4936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4961</v>
      </c>
      <c r="M1116" t="s">
        <v>4282</v>
      </c>
      <c r="N1116">
        <v>1979.64</v>
      </c>
      <c r="O1116" t="str">
        <f>IF((Sheet1[[#This Row],[Quantity]]*Sheet1[[#This Row],[UnitPrice]])=(Sheet1[[#This Row],[TotalPrice]]), "True", "False")</f>
        <v>True</v>
      </c>
      <c r="P1116" t="str">
        <f>IF((Sheet1[[#This Row],[ItemsInCart]]&gt;=Sheet1[[#This Row],[Quantity]]), "Good", "Bad")</f>
        <v>Good</v>
      </c>
      <c r="Q1116" t="str">
        <f t="shared" si="85"/>
        <v>OK</v>
      </c>
      <c r="R1116" t="str">
        <f t="shared" si="86"/>
        <v>BAD</v>
      </c>
      <c r="S1116">
        <f t="shared" si="87"/>
        <v>0</v>
      </c>
      <c r="T1116">
        <f t="shared" si="88"/>
        <v>1</v>
      </c>
      <c r="U1116" t="str">
        <f t="shared" si="89"/>
        <v>REVIEW_RETURN</v>
      </c>
    </row>
    <row r="1117" spans="1:21">
      <c r="A1117" t="s">
        <v>1129</v>
      </c>
      <c r="B1117" t="s">
        <v>4409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4961</v>
      </c>
      <c r="M1117" t="s">
        <v>4282</v>
      </c>
      <c r="N1117">
        <v>672.64</v>
      </c>
      <c r="O1117" t="str">
        <f>IF((Sheet1[[#This Row],[Quantity]]*Sheet1[[#This Row],[UnitPrice]])=(Sheet1[[#This Row],[TotalPrice]]), "True", "False")</f>
        <v>True</v>
      </c>
      <c r="P1117" t="str">
        <f>IF((Sheet1[[#This Row],[ItemsInCart]]&gt;=Sheet1[[#This Row],[Quantity]]), "Good", "Bad")</f>
        <v>Good</v>
      </c>
      <c r="Q1117" t="str">
        <f t="shared" si="85"/>
        <v>OK</v>
      </c>
      <c r="R1117" t="str">
        <f t="shared" si="86"/>
        <v>GOOD</v>
      </c>
      <c r="S1117">
        <f t="shared" si="87"/>
        <v>0</v>
      </c>
      <c r="T1117">
        <f t="shared" si="88"/>
        <v>0</v>
      </c>
      <c r="U1117" t="str">
        <f t="shared" si="89"/>
        <v>OK</v>
      </c>
    </row>
    <row r="1118" spans="1:21">
      <c r="A1118" t="s">
        <v>1130</v>
      </c>
      <c r="B1118" t="s">
        <v>4895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 t="str">
        <f>IF((Sheet1[[#This Row],[Quantity]]*Sheet1[[#This Row],[UnitPrice]])=(Sheet1[[#This Row],[TotalPrice]]), "True", "False")</f>
        <v>True</v>
      </c>
      <c r="P1118" t="str">
        <f>IF((Sheet1[[#This Row],[ItemsInCart]]&gt;=Sheet1[[#This Row],[Quantity]]), "Good", "Bad")</f>
        <v>Good</v>
      </c>
      <c r="Q1118" t="str">
        <f t="shared" si="85"/>
        <v>OK</v>
      </c>
      <c r="R1118" t="str">
        <f t="shared" si="86"/>
        <v>GOOD</v>
      </c>
      <c r="S1118">
        <f t="shared" si="87"/>
        <v>0</v>
      </c>
      <c r="T1118">
        <f t="shared" si="88"/>
        <v>0</v>
      </c>
      <c r="U1118" t="str">
        <f t="shared" si="89"/>
        <v>OK</v>
      </c>
    </row>
    <row r="1119" spans="1:21">
      <c r="A1119" t="s">
        <v>1131</v>
      </c>
      <c r="B1119" t="s">
        <v>4482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 t="str">
        <f>IF((Sheet1[[#This Row],[Quantity]]*Sheet1[[#This Row],[UnitPrice]])=(Sheet1[[#This Row],[TotalPrice]]), "True", "False")</f>
        <v>True</v>
      </c>
      <c r="P1119" t="str">
        <f>IF((Sheet1[[#This Row],[ItemsInCart]]&gt;=Sheet1[[#This Row],[Quantity]]), "Good", "Bad")</f>
        <v>Good</v>
      </c>
      <c r="Q1119" t="str">
        <f t="shared" si="85"/>
        <v>OK</v>
      </c>
      <c r="R1119" t="str">
        <f t="shared" si="86"/>
        <v>GOOD</v>
      </c>
      <c r="S1119">
        <f t="shared" si="87"/>
        <v>0</v>
      </c>
      <c r="T1119">
        <f t="shared" si="88"/>
        <v>0</v>
      </c>
      <c r="U1119" t="str">
        <f t="shared" si="89"/>
        <v>OK</v>
      </c>
    </row>
    <row r="1120" spans="1:21">
      <c r="A1120" t="s">
        <v>1132</v>
      </c>
      <c r="B1120" t="s">
        <v>4358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4961</v>
      </c>
      <c r="M1120" t="s">
        <v>4280</v>
      </c>
      <c r="N1120">
        <v>754.43999999999994</v>
      </c>
      <c r="O1120" t="str">
        <f>IF((Sheet1[[#This Row],[Quantity]]*Sheet1[[#This Row],[UnitPrice]])=(Sheet1[[#This Row],[TotalPrice]]), "True", "False")</f>
        <v>True</v>
      </c>
      <c r="P1120" t="str">
        <f>IF((Sheet1[[#This Row],[ItemsInCart]]&gt;=Sheet1[[#This Row],[Quantity]]), "Good", "Bad")</f>
        <v>Good</v>
      </c>
      <c r="Q1120" t="str">
        <f t="shared" si="85"/>
        <v>OK</v>
      </c>
      <c r="R1120" t="str">
        <f t="shared" si="86"/>
        <v>GOOD</v>
      </c>
      <c r="S1120">
        <f t="shared" si="87"/>
        <v>0</v>
      </c>
      <c r="T1120">
        <f t="shared" si="88"/>
        <v>0</v>
      </c>
      <c r="U1120" t="str">
        <f t="shared" si="89"/>
        <v>OK</v>
      </c>
    </row>
    <row r="1121" spans="1:21">
      <c r="A1121" t="s">
        <v>1133</v>
      </c>
      <c r="B1121" t="s">
        <v>4450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 t="str">
        <f>IF((Sheet1[[#This Row],[Quantity]]*Sheet1[[#This Row],[UnitPrice]])=(Sheet1[[#This Row],[TotalPrice]]), "True", "False")</f>
        <v>True</v>
      </c>
      <c r="P1121" t="str">
        <f>IF((Sheet1[[#This Row],[ItemsInCart]]&gt;=Sheet1[[#This Row],[Quantity]]), "Good", "Bad")</f>
        <v>Good</v>
      </c>
      <c r="Q1121" t="str">
        <f t="shared" si="85"/>
        <v>OK</v>
      </c>
      <c r="R1121" t="str">
        <f t="shared" si="86"/>
        <v>GOOD</v>
      </c>
      <c r="S1121">
        <f t="shared" si="87"/>
        <v>0</v>
      </c>
      <c r="T1121">
        <f t="shared" si="88"/>
        <v>0</v>
      </c>
      <c r="U1121" t="str">
        <f t="shared" si="89"/>
        <v>OK</v>
      </c>
    </row>
    <row r="1122" spans="1:21">
      <c r="A1122" t="s">
        <v>1134</v>
      </c>
      <c r="B1122" t="s">
        <v>4683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4961</v>
      </c>
      <c r="M1122" t="s">
        <v>4281</v>
      </c>
      <c r="N1122">
        <v>195.86</v>
      </c>
      <c r="O1122" t="str">
        <f>IF((Sheet1[[#This Row],[Quantity]]*Sheet1[[#This Row],[UnitPrice]])=(Sheet1[[#This Row],[TotalPrice]]), "True", "False")</f>
        <v>True</v>
      </c>
      <c r="P1122" t="str">
        <f>IF((Sheet1[[#This Row],[ItemsInCart]]&gt;=Sheet1[[#This Row],[Quantity]]), "Good", "Bad")</f>
        <v>Good</v>
      </c>
      <c r="Q1122" t="str">
        <f t="shared" si="85"/>
        <v>OK</v>
      </c>
      <c r="R1122" t="str">
        <f t="shared" si="86"/>
        <v>BAD</v>
      </c>
      <c r="S1122">
        <f t="shared" si="87"/>
        <v>0</v>
      </c>
      <c r="T1122">
        <f t="shared" si="88"/>
        <v>1</v>
      </c>
      <c r="U1122" t="str">
        <f t="shared" si="89"/>
        <v>DOCUMENTED</v>
      </c>
    </row>
    <row r="1123" spans="1:21">
      <c r="A1123" t="s">
        <v>1135</v>
      </c>
      <c r="B1123" t="s">
        <v>4937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 t="str">
        <f>IF((Sheet1[[#This Row],[Quantity]]*Sheet1[[#This Row],[UnitPrice]])=(Sheet1[[#This Row],[TotalPrice]]), "True", "False")</f>
        <v>True</v>
      </c>
      <c r="P1123" t="str">
        <f>IF((Sheet1[[#This Row],[ItemsInCart]]&gt;=Sheet1[[#This Row],[Quantity]]), "Good", "Bad")</f>
        <v>Good</v>
      </c>
      <c r="Q1123" t="str">
        <f t="shared" si="85"/>
        <v>OK</v>
      </c>
      <c r="R1123" t="str">
        <f t="shared" si="86"/>
        <v>GOOD</v>
      </c>
      <c r="S1123">
        <f t="shared" si="87"/>
        <v>0</v>
      </c>
      <c r="T1123">
        <f t="shared" si="88"/>
        <v>0</v>
      </c>
      <c r="U1123" t="str">
        <f t="shared" si="89"/>
        <v>OK</v>
      </c>
    </row>
    <row r="1124" spans="1:21">
      <c r="A1124" t="s">
        <v>1136</v>
      </c>
      <c r="B1124" t="s">
        <v>4606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4961</v>
      </c>
      <c r="M1124" t="s">
        <v>4281</v>
      </c>
      <c r="N1124">
        <v>3390.95</v>
      </c>
      <c r="O1124" t="str">
        <f>IF((Sheet1[[#This Row],[Quantity]]*Sheet1[[#This Row],[UnitPrice]])=(Sheet1[[#This Row],[TotalPrice]]), "True", "False")</f>
        <v>True</v>
      </c>
      <c r="P1124" t="str">
        <f>IF((Sheet1[[#This Row],[ItemsInCart]]&gt;=Sheet1[[#This Row],[Quantity]]), "Good", "Bad")</f>
        <v>Good</v>
      </c>
      <c r="Q1124" t="str">
        <f t="shared" si="85"/>
        <v>OK</v>
      </c>
      <c r="R1124" t="str">
        <f t="shared" si="86"/>
        <v>GOOD</v>
      </c>
      <c r="S1124">
        <f t="shared" si="87"/>
        <v>0</v>
      </c>
      <c r="T1124">
        <f t="shared" si="88"/>
        <v>0</v>
      </c>
      <c r="U1124" t="str">
        <f t="shared" si="89"/>
        <v>OK</v>
      </c>
    </row>
    <row r="1125" spans="1:21">
      <c r="A1125" t="s">
        <v>1137</v>
      </c>
      <c r="B1125" t="s">
        <v>4938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 t="str">
        <f>IF((Sheet1[[#This Row],[Quantity]]*Sheet1[[#This Row],[UnitPrice]])=(Sheet1[[#This Row],[TotalPrice]]), "True", "False")</f>
        <v>True</v>
      </c>
      <c r="P1125" t="str">
        <f>IF((Sheet1[[#This Row],[ItemsInCart]]&gt;=Sheet1[[#This Row],[Quantity]]), "Good", "Bad")</f>
        <v>Good</v>
      </c>
      <c r="Q1125" t="str">
        <f t="shared" si="85"/>
        <v>OK</v>
      </c>
      <c r="R1125" t="str">
        <f t="shared" si="86"/>
        <v>GOOD</v>
      </c>
      <c r="S1125">
        <f t="shared" si="87"/>
        <v>0</v>
      </c>
      <c r="T1125">
        <f t="shared" si="88"/>
        <v>0</v>
      </c>
      <c r="U1125" t="str">
        <f t="shared" si="89"/>
        <v>OK</v>
      </c>
    </row>
    <row r="1126" spans="1:21">
      <c r="A1126" t="s">
        <v>1138</v>
      </c>
      <c r="B1126" t="s">
        <v>4504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4961</v>
      </c>
      <c r="M1126" t="s">
        <v>4278</v>
      </c>
      <c r="N1126">
        <v>2307.48</v>
      </c>
      <c r="O1126" t="str">
        <f>IF((Sheet1[[#This Row],[Quantity]]*Sheet1[[#This Row],[UnitPrice]])=(Sheet1[[#This Row],[TotalPrice]]), "True", "False")</f>
        <v>True</v>
      </c>
      <c r="P1126" t="str">
        <f>IF((Sheet1[[#This Row],[ItemsInCart]]&gt;=Sheet1[[#This Row],[Quantity]]), "Good", "Bad")</f>
        <v>Good</v>
      </c>
      <c r="Q1126" t="str">
        <f t="shared" si="85"/>
        <v>OK</v>
      </c>
      <c r="R1126" t="str">
        <f t="shared" si="86"/>
        <v>GOOD</v>
      </c>
      <c r="S1126">
        <f t="shared" si="87"/>
        <v>0</v>
      </c>
      <c r="T1126">
        <f t="shared" si="88"/>
        <v>0</v>
      </c>
      <c r="U1126" t="str">
        <f t="shared" si="89"/>
        <v>OK</v>
      </c>
    </row>
    <row r="1127" spans="1:21">
      <c r="A1127" t="s">
        <v>1139</v>
      </c>
      <c r="B1127" t="s">
        <v>4787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 t="str">
        <f>IF((Sheet1[[#This Row],[Quantity]]*Sheet1[[#This Row],[UnitPrice]])=(Sheet1[[#This Row],[TotalPrice]]), "True", "False")</f>
        <v>True</v>
      </c>
      <c r="P1127" t="str">
        <f>IF((Sheet1[[#This Row],[ItemsInCart]]&gt;=Sheet1[[#This Row],[Quantity]]), "Good", "Bad")</f>
        <v>Good</v>
      </c>
      <c r="Q1127" t="str">
        <f t="shared" si="85"/>
        <v>OK</v>
      </c>
      <c r="R1127" t="str">
        <f t="shared" si="86"/>
        <v>BAD</v>
      </c>
      <c r="S1127">
        <f t="shared" si="87"/>
        <v>0</v>
      </c>
      <c r="T1127">
        <f t="shared" si="88"/>
        <v>1</v>
      </c>
      <c r="U1127" t="str">
        <f t="shared" si="89"/>
        <v>REVIEW_RETURN</v>
      </c>
    </row>
    <row r="1128" spans="1:21">
      <c r="A1128" t="s">
        <v>1140</v>
      </c>
      <c r="B1128" t="s">
        <v>4602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 t="str">
        <f>IF((Sheet1[[#This Row],[Quantity]]*Sheet1[[#This Row],[UnitPrice]])=(Sheet1[[#This Row],[TotalPrice]]), "True", "False")</f>
        <v>True</v>
      </c>
      <c r="P1128" t="str">
        <f>IF((Sheet1[[#This Row],[ItemsInCart]]&gt;=Sheet1[[#This Row],[Quantity]]), "Good", "Bad")</f>
        <v>Good</v>
      </c>
      <c r="Q1128" t="str">
        <f t="shared" si="85"/>
        <v>OK</v>
      </c>
      <c r="R1128" t="str">
        <f t="shared" si="86"/>
        <v>GOOD</v>
      </c>
      <c r="S1128">
        <f t="shared" si="87"/>
        <v>0</v>
      </c>
      <c r="T1128">
        <f t="shared" si="88"/>
        <v>0</v>
      </c>
      <c r="U1128" t="str">
        <f t="shared" si="89"/>
        <v>OK</v>
      </c>
    </row>
    <row r="1129" spans="1:21">
      <c r="A1129" t="s">
        <v>1141</v>
      </c>
      <c r="B1129" t="s">
        <v>4458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 t="str">
        <f>IF((Sheet1[[#This Row],[Quantity]]*Sheet1[[#This Row],[UnitPrice]])=(Sheet1[[#This Row],[TotalPrice]]), "True", "False")</f>
        <v>True</v>
      </c>
      <c r="P1129" t="str">
        <f>IF((Sheet1[[#This Row],[ItemsInCart]]&gt;=Sheet1[[#This Row],[Quantity]]), "Good", "Bad")</f>
        <v>Good</v>
      </c>
      <c r="Q1129" t="str">
        <f t="shared" si="85"/>
        <v>OK</v>
      </c>
      <c r="R1129" t="str">
        <f t="shared" si="86"/>
        <v>GOOD</v>
      </c>
      <c r="S1129">
        <f t="shared" si="87"/>
        <v>0</v>
      </c>
      <c r="T1129">
        <f t="shared" si="88"/>
        <v>0</v>
      </c>
      <c r="U1129" t="str">
        <f t="shared" si="89"/>
        <v>OK</v>
      </c>
    </row>
    <row r="1130" spans="1:21">
      <c r="A1130" t="s">
        <v>1142</v>
      </c>
      <c r="B1130" t="s">
        <v>4821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 t="str">
        <f>IF((Sheet1[[#This Row],[Quantity]]*Sheet1[[#This Row],[UnitPrice]])=(Sheet1[[#This Row],[TotalPrice]]), "True", "False")</f>
        <v>True</v>
      </c>
      <c r="P1130" t="str">
        <f>IF((Sheet1[[#This Row],[ItemsInCart]]&gt;=Sheet1[[#This Row],[Quantity]]), "Good", "Bad")</f>
        <v>Good</v>
      </c>
      <c r="Q1130" t="str">
        <f t="shared" si="85"/>
        <v>OK</v>
      </c>
      <c r="R1130" t="str">
        <f t="shared" si="86"/>
        <v>BAD</v>
      </c>
      <c r="S1130">
        <f t="shared" si="87"/>
        <v>0</v>
      </c>
      <c r="T1130">
        <f t="shared" si="88"/>
        <v>1</v>
      </c>
      <c r="U1130" t="str">
        <f t="shared" si="89"/>
        <v>REVIEW_RETURN</v>
      </c>
    </row>
    <row r="1131" spans="1:21">
      <c r="A1131" t="s">
        <v>1143</v>
      </c>
      <c r="B1131" t="s">
        <v>4519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 t="str">
        <f>IF((Sheet1[[#This Row],[Quantity]]*Sheet1[[#This Row],[UnitPrice]])=(Sheet1[[#This Row],[TotalPrice]]), "True", "False")</f>
        <v>True</v>
      </c>
      <c r="P1131" t="str">
        <f>IF((Sheet1[[#This Row],[ItemsInCart]]&gt;=Sheet1[[#This Row],[Quantity]]), "Good", "Bad")</f>
        <v>Good</v>
      </c>
      <c r="Q1131" t="str">
        <f t="shared" si="85"/>
        <v>OK</v>
      </c>
      <c r="R1131" t="str">
        <f t="shared" si="86"/>
        <v>BAD</v>
      </c>
      <c r="S1131">
        <f t="shared" si="87"/>
        <v>0</v>
      </c>
      <c r="T1131">
        <f t="shared" si="88"/>
        <v>1</v>
      </c>
      <c r="U1131" t="str">
        <f t="shared" si="89"/>
        <v>DOCUMENTED</v>
      </c>
    </row>
    <row r="1132" spans="1:21">
      <c r="A1132" t="s">
        <v>1144</v>
      </c>
      <c r="B1132" t="s">
        <v>4939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 t="str">
        <f>IF((Sheet1[[#This Row],[Quantity]]*Sheet1[[#This Row],[UnitPrice]])=(Sheet1[[#This Row],[TotalPrice]]), "True", "False")</f>
        <v>True</v>
      </c>
      <c r="P1132" t="str">
        <f>IF((Sheet1[[#This Row],[ItemsInCart]]&gt;=Sheet1[[#This Row],[Quantity]]), "Good", "Bad")</f>
        <v>Good</v>
      </c>
      <c r="Q1132" t="str">
        <f t="shared" si="85"/>
        <v>OK</v>
      </c>
      <c r="R1132" t="str">
        <f t="shared" si="86"/>
        <v>GOOD</v>
      </c>
      <c r="S1132">
        <f t="shared" si="87"/>
        <v>0</v>
      </c>
      <c r="T1132">
        <f t="shared" si="88"/>
        <v>0</v>
      </c>
      <c r="U1132" t="str">
        <f t="shared" si="89"/>
        <v>OK</v>
      </c>
    </row>
    <row r="1133" spans="1:21">
      <c r="A1133" t="s">
        <v>1145</v>
      </c>
      <c r="B1133" t="s">
        <v>4691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 t="str">
        <f>IF((Sheet1[[#This Row],[Quantity]]*Sheet1[[#This Row],[UnitPrice]])=(Sheet1[[#This Row],[TotalPrice]]), "True", "False")</f>
        <v>True</v>
      </c>
      <c r="P1133" t="str">
        <f>IF((Sheet1[[#This Row],[ItemsInCart]]&gt;=Sheet1[[#This Row],[Quantity]]), "Good", "Bad")</f>
        <v>Good</v>
      </c>
      <c r="Q1133" t="str">
        <f t="shared" si="85"/>
        <v>OK</v>
      </c>
      <c r="R1133" t="str">
        <f t="shared" si="86"/>
        <v>BAD</v>
      </c>
      <c r="S1133">
        <f t="shared" si="87"/>
        <v>0</v>
      </c>
      <c r="T1133">
        <f t="shared" si="88"/>
        <v>1</v>
      </c>
      <c r="U1133" t="str">
        <f t="shared" si="89"/>
        <v>DOCUMENTED</v>
      </c>
    </row>
    <row r="1134" spans="1:21">
      <c r="A1134" t="s">
        <v>1146</v>
      </c>
      <c r="B1134" t="s">
        <v>4940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 t="str">
        <f>IF((Sheet1[[#This Row],[Quantity]]*Sheet1[[#This Row],[UnitPrice]])=(Sheet1[[#This Row],[TotalPrice]]), "True", "False")</f>
        <v>True</v>
      </c>
      <c r="P1134" t="str">
        <f>IF((Sheet1[[#This Row],[ItemsInCart]]&gt;=Sheet1[[#This Row],[Quantity]]), "Good", "Bad")</f>
        <v>Good</v>
      </c>
      <c r="Q1134" t="str">
        <f t="shared" si="85"/>
        <v>OK</v>
      </c>
      <c r="R1134" t="str">
        <f t="shared" si="86"/>
        <v>BAD</v>
      </c>
      <c r="S1134">
        <f t="shared" si="87"/>
        <v>0</v>
      </c>
      <c r="T1134">
        <f t="shared" si="88"/>
        <v>1</v>
      </c>
      <c r="U1134" t="str">
        <f t="shared" si="89"/>
        <v>REVIEW_RETURN</v>
      </c>
    </row>
    <row r="1135" spans="1:21">
      <c r="A1135" t="s">
        <v>1147</v>
      </c>
      <c r="B1135" t="s">
        <v>4681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 t="str">
        <f>IF((Sheet1[[#This Row],[Quantity]]*Sheet1[[#This Row],[UnitPrice]])=(Sheet1[[#This Row],[TotalPrice]]), "True", "False")</f>
        <v>True</v>
      </c>
      <c r="P1135" t="str">
        <f>IF((Sheet1[[#This Row],[ItemsInCart]]&gt;=Sheet1[[#This Row],[Quantity]]), "Good", "Bad")</f>
        <v>Good</v>
      </c>
      <c r="Q1135" t="str">
        <f t="shared" si="85"/>
        <v>OK</v>
      </c>
      <c r="R1135" t="str">
        <f t="shared" si="86"/>
        <v>GOOD</v>
      </c>
      <c r="S1135">
        <f t="shared" si="87"/>
        <v>0</v>
      </c>
      <c r="T1135">
        <f t="shared" si="88"/>
        <v>0</v>
      </c>
      <c r="U1135" t="str">
        <f t="shared" si="89"/>
        <v>OK</v>
      </c>
    </row>
    <row r="1136" spans="1:21">
      <c r="A1136" t="s">
        <v>1148</v>
      </c>
      <c r="B1136" t="s">
        <v>4463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 t="str">
        <f>IF((Sheet1[[#This Row],[Quantity]]*Sheet1[[#This Row],[UnitPrice]])=(Sheet1[[#This Row],[TotalPrice]]), "True", "False")</f>
        <v>True</v>
      </c>
      <c r="P1136" t="str">
        <f>IF((Sheet1[[#This Row],[ItemsInCart]]&gt;=Sheet1[[#This Row],[Quantity]]), "Good", "Bad")</f>
        <v>Good</v>
      </c>
      <c r="Q1136" t="str">
        <f t="shared" si="85"/>
        <v>OK</v>
      </c>
      <c r="R1136" t="str">
        <f t="shared" si="86"/>
        <v>BAD</v>
      </c>
      <c r="S1136">
        <f t="shared" si="87"/>
        <v>0</v>
      </c>
      <c r="T1136">
        <f t="shared" si="88"/>
        <v>1</v>
      </c>
      <c r="U1136" t="str">
        <f t="shared" si="89"/>
        <v>REVIEW_RETURN</v>
      </c>
    </row>
    <row r="1137" spans="1:21">
      <c r="A1137" t="s">
        <v>1149</v>
      </c>
      <c r="B1137" t="s">
        <v>4436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 t="str">
        <f>IF((Sheet1[[#This Row],[Quantity]]*Sheet1[[#This Row],[UnitPrice]])=(Sheet1[[#This Row],[TotalPrice]]), "True", "False")</f>
        <v>True</v>
      </c>
      <c r="P1137" t="str">
        <f>IF((Sheet1[[#This Row],[ItemsInCart]]&gt;=Sheet1[[#This Row],[Quantity]]), "Good", "Bad")</f>
        <v>Good</v>
      </c>
      <c r="Q1137" t="str">
        <f t="shared" si="85"/>
        <v>OK</v>
      </c>
      <c r="R1137" t="str">
        <f t="shared" si="86"/>
        <v>GOOD</v>
      </c>
      <c r="S1137">
        <f t="shared" si="87"/>
        <v>0</v>
      </c>
      <c r="T1137">
        <f t="shared" si="88"/>
        <v>0</v>
      </c>
      <c r="U1137" t="str">
        <f t="shared" si="89"/>
        <v>OK</v>
      </c>
    </row>
    <row r="1138" spans="1:21">
      <c r="A1138" t="s">
        <v>1150</v>
      </c>
      <c r="B1138" t="s">
        <v>4746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 t="str">
        <f>IF((Sheet1[[#This Row],[Quantity]]*Sheet1[[#This Row],[UnitPrice]])=(Sheet1[[#This Row],[TotalPrice]]), "True", "False")</f>
        <v>True</v>
      </c>
      <c r="P1138" t="str">
        <f>IF((Sheet1[[#This Row],[ItemsInCart]]&gt;=Sheet1[[#This Row],[Quantity]]), "Good", "Bad")</f>
        <v>Good</v>
      </c>
      <c r="Q1138" t="str">
        <f t="shared" si="85"/>
        <v>OK</v>
      </c>
      <c r="R1138" t="str">
        <f t="shared" si="86"/>
        <v>BAD</v>
      </c>
      <c r="S1138">
        <f t="shared" si="87"/>
        <v>0</v>
      </c>
      <c r="T1138">
        <f t="shared" si="88"/>
        <v>1</v>
      </c>
      <c r="U1138" t="str">
        <f t="shared" si="89"/>
        <v>DOCUMENTED</v>
      </c>
    </row>
    <row r="1139" spans="1:21">
      <c r="A1139" t="s">
        <v>1151</v>
      </c>
      <c r="B1139" t="s">
        <v>4794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 t="str">
        <f>IF((Sheet1[[#This Row],[Quantity]]*Sheet1[[#This Row],[UnitPrice]])=(Sheet1[[#This Row],[TotalPrice]]), "True", "False")</f>
        <v>True</v>
      </c>
      <c r="P1139" t="str">
        <f>IF((Sheet1[[#This Row],[ItemsInCart]]&gt;=Sheet1[[#This Row],[Quantity]]), "Good", "Bad")</f>
        <v>Good</v>
      </c>
      <c r="Q1139" t="str">
        <f t="shared" si="85"/>
        <v>OK</v>
      </c>
      <c r="R1139" t="str">
        <f t="shared" si="86"/>
        <v>BAD</v>
      </c>
      <c r="S1139">
        <f t="shared" si="87"/>
        <v>0</v>
      </c>
      <c r="T1139">
        <f t="shared" si="88"/>
        <v>1</v>
      </c>
      <c r="U1139" t="str">
        <f t="shared" si="89"/>
        <v>DOCUMENTED</v>
      </c>
    </row>
    <row r="1140" spans="1:21">
      <c r="A1140" t="s">
        <v>1152</v>
      </c>
      <c r="B1140" t="s">
        <v>4835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4961</v>
      </c>
      <c r="M1140" t="s">
        <v>4278</v>
      </c>
      <c r="N1140">
        <v>1177.6400000000001</v>
      </c>
      <c r="O1140" t="str">
        <f>IF((Sheet1[[#This Row],[Quantity]]*Sheet1[[#This Row],[UnitPrice]])=(Sheet1[[#This Row],[TotalPrice]]), "True", "False")</f>
        <v>True</v>
      </c>
      <c r="P1140" t="str">
        <f>IF((Sheet1[[#This Row],[ItemsInCart]]&gt;=Sheet1[[#This Row],[Quantity]]), "Good", "Bad")</f>
        <v>Good</v>
      </c>
      <c r="Q1140" t="str">
        <f t="shared" si="85"/>
        <v>OK</v>
      </c>
      <c r="R1140" t="str">
        <f t="shared" si="86"/>
        <v>BAD</v>
      </c>
      <c r="S1140">
        <f t="shared" si="87"/>
        <v>0</v>
      </c>
      <c r="T1140">
        <f t="shared" si="88"/>
        <v>1</v>
      </c>
      <c r="U1140" t="str">
        <f t="shared" si="89"/>
        <v>DOCUMENTED</v>
      </c>
    </row>
    <row r="1141" spans="1:21">
      <c r="A1141" t="s">
        <v>1153</v>
      </c>
      <c r="B1141" t="s">
        <v>4910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 t="str">
        <f>IF((Sheet1[[#This Row],[Quantity]]*Sheet1[[#This Row],[UnitPrice]])=(Sheet1[[#This Row],[TotalPrice]]), "True", "False")</f>
        <v>True</v>
      </c>
      <c r="P1141" t="str">
        <f>IF((Sheet1[[#This Row],[ItemsInCart]]&gt;=Sheet1[[#This Row],[Quantity]]), "Good", "Bad")</f>
        <v>Good</v>
      </c>
      <c r="Q1141" t="str">
        <f t="shared" si="85"/>
        <v>OK</v>
      </c>
      <c r="R1141" t="str">
        <f t="shared" si="86"/>
        <v>BAD</v>
      </c>
      <c r="S1141">
        <f t="shared" si="87"/>
        <v>0</v>
      </c>
      <c r="T1141">
        <f t="shared" si="88"/>
        <v>1</v>
      </c>
      <c r="U1141" t="str">
        <f t="shared" si="89"/>
        <v>REVIEW_RETURN</v>
      </c>
    </row>
    <row r="1142" spans="1:21">
      <c r="A1142" t="s">
        <v>1154</v>
      </c>
      <c r="B1142" t="s">
        <v>4941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4961</v>
      </c>
      <c r="M1142" t="s">
        <v>4279</v>
      </c>
      <c r="N1142">
        <v>1105.6600000000001</v>
      </c>
      <c r="O1142" t="str">
        <f>IF((Sheet1[[#This Row],[Quantity]]*Sheet1[[#This Row],[UnitPrice]])=(Sheet1[[#This Row],[TotalPrice]]), "True", "False")</f>
        <v>True</v>
      </c>
      <c r="P1142" t="str">
        <f>IF((Sheet1[[#This Row],[ItemsInCart]]&gt;=Sheet1[[#This Row],[Quantity]]), "Good", "Bad")</f>
        <v>Good</v>
      </c>
      <c r="Q1142" t="str">
        <f t="shared" si="85"/>
        <v>OK</v>
      </c>
      <c r="R1142" t="str">
        <f t="shared" si="86"/>
        <v>BAD</v>
      </c>
      <c r="S1142">
        <f t="shared" si="87"/>
        <v>0</v>
      </c>
      <c r="T1142">
        <f t="shared" si="88"/>
        <v>1</v>
      </c>
      <c r="U1142" t="str">
        <f t="shared" si="89"/>
        <v>REVIEW_RETURN</v>
      </c>
    </row>
    <row r="1143" spans="1:21">
      <c r="A1143" t="s">
        <v>1155</v>
      </c>
      <c r="B1143" t="s">
        <v>4939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4961</v>
      </c>
      <c r="M1143" t="s">
        <v>4280</v>
      </c>
      <c r="N1143">
        <v>1495.98</v>
      </c>
      <c r="O1143" t="str">
        <f>IF((Sheet1[[#This Row],[Quantity]]*Sheet1[[#This Row],[UnitPrice]])=(Sheet1[[#This Row],[TotalPrice]]), "True", "False")</f>
        <v>True</v>
      </c>
      <c r="P1143" t="str">
        <f>IF((Sheet1[[#This Row],[ItemsInCart]]&gt;=Sheet1[[#This Row],[Quantity]]), "Good", "Bad")</f>
        <v>Good</v>
      </c>
      <c r="Q1143" t="str">
        <f t="shared" si="85"/>
        <v>OK</v>
      </c>
      <c r="R1143" t="str">
        <f t="shared" si="86"/>
        <v>BAD</v>
      </c>
      <c r="S1143">
        <f t="shared" si="87"/>
        <v>0</v>
      </c>
      <c r="T1143">
        <f t="shared" si="88"/>
        <v>1</v>
      </c>
      <c r="U1143" t="str">
        <f t="shared" si="89"/>
        <v>REVIEW_RETURN</v>
      </c>
    </row>
    <row r="1144" spans="1:21">
      <c r="A1144" t="s">
        <v>1156</v>
      </c>
      <c r="B1144" t="s">
        <v>4284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4961</v>
      </c>
      <c r="M1144" t="s">
        <v>4280</v>
      </c>
      <c r="N1144">
        <v>2780.4</v>
      </c>
      <c r="O1144" t="str">
        <f>IF((Sheet1[[#This Row],[Quantity]]*Sheet1[[#This Row],[UnitPrice]])=(Sheet1[[#This Row],[TotalPrice]]), "True", "False")</f>
        <v>True</v>
      </c>
      <c r="P1144" t="str">
        <f>IF((Sheet1[[#This Row],[ItemsInCart]]&gt;=Sheet1[[#This Row],[Quantity]]), "Good", "Bad")</f>
        <v>Good</v>
      </c>
      <c r="Q1144" t="str">
        <f t="shared" si="85"/>
        <v>OK</v>
      </c>
      <c r="R1144" t="str">
        <f t="shared" si="86"/>
        <v>GOOD</v>
      </c>
      <c r="S1144">
        <f t="shared" si="87"/>
        <v>0</v>
      </c>
      <c r="T1144">
        <f t="shared" si="88"/>
        <v>0</v>
      </c>
      <c r="U1144" t="str">
        <f t="shared" si="89"/>
        <v>OK</v>
      </c>
    </row>
    <row r="1145" spans="1:21">
      <c r="A1145" t="s">
        <v>1157</v>
      </c>
      <c r="B1145" t="s">
        <v>4942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4961</v>
      </c>
      <c r="M1145" t="s">
        <v>4280</v>
      </c>
      <c r="N1145">
        <v>381.61</v>
      </c>
      <c r="O1145" t="str">
        <f>IF((Sheet1[[#This Row],[Quantity]]*Sheet1[[#This Row],[UnitPrice]])=(Sheet1[[#This Row],[TotalPrice]]), "True", "False")</f>
        <v>True</v>
      </c>
      <c r="P1145" t="str">
        <f>IF((Sheet1[[#This Row],[ItemsInCart]]&gt;=Sheet1[[#This Row],[Quantity]]), "Good", "Bad")</f>
        <v>Good</v>
      </c>
      <c r="Q1145" t="str">
        <f t="shared" si="85"/>
        <v>OK</v>
      </c>
      <c r="R1145" t="str">
        <f t="shared" si="86"/>
        <v>BAD</v>
      </c>
      <c r="S1145">
        <f t="shared" si="87"/>
        <v>0</v>
      </c>
      <c r="T1145">
        <f t="shared" si="88"/>
        <v>1</v>
      </c>
      <c r="U1145" t="str">
        <f t="shared" si="89"/>
        <v>DOCUMENTED</v>
      </c>
    </row>
    <row r="1146" spans="1:21">
      <c r="A1146" t="s">
        <v>1158</v>
      </c>
      <c r="B1146" t="s">
        <v>4506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4961</v>
      </c>
      <c r="M1146" t="s">
        <v>4281</v>
      </c>
      <c r="N1146">
        <v>2539.6999999999998</v>
      </c>
      <c r="O1146" t="str">
        <f>IF((Sheet1[[#This Row],[Quantity]]*Sheet1[[#This Row],[UnitPrice]])=(Sheet1[[#This Row],[TotalPrice]]), "True", "False")</f>
        <v>True</v>
      </c>
      <c r="P1146" t="str">
        <f>IF((Sheet1[[#This Row],[ItemsInCart]]&gt;=Sheet1[[#This Row],[Quantity]]), "Good", "Bad")</f>
        <v>Good</v>
      </c>
      <c r="Q1146" t="str">
        <f t="shared" si="85"/>
        <v>OK</v>
      </c>
      <c r="R1146" t="str">
        <f t="shared" si="86"/>
        <v>BAD</v>
      </c>
      <c r="S1146">
        <f t="shared" si="87"/>
        <v>0</v>
      </c>
      <c r="T1146">
        <f t="shared" si="88"/>
        <v>1</v>
      </c>
      <c r="U1146" t="str">
        <f t="shared" si="89"/>
        <v>REVIEW_RETURN</v>
      </c>
    </row>
    <row r="1147" spans="1:21">
      <c r="A1147" t="s">
        <v>1159</v>
      </c>
      <c r="B1147" t="s">
        <v>4558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 t="str">
        <f>IF((Sheet1[[#This Row],[Quantity]]*Sheet1[[#This Row],[UnitPrice]])=(Sheet1[[#This Row],[TotalPrice]]), "True", "False")</f>
        <v>True</v>
      </c>
      <c r="P1147" t="str">
        <f>IF((Sheet1[[#This Row],[ItemsInCart]]&gt;=Sheet1[[#This Row],[Quantity]]), "Good", "Bad")</f>
        <v>Good</v>
      </c>
      <c r="Q1147" t="str">
        <f t="shared" si="85"/>
        <v>OK</v>
      </c>
      <c r="R1147" t="str">
        <f t="shared" si="86"/>
        <v>GOOD</v>
      </c>
      <c r="S1147">
        <f t="shared" si="87"/>
        <v>0</v>
      </c>
      <c r="T1147">
        <f t="shared" si="88"/>
        <v>0</v>
      </c>
      <c r="U1147" t="str">
        <f t="shared" si="89"/>
        <v>OK</v>
      </c>
    </row>
    <row r="1148" spans="1:21">
      <c r="A1148" t="s">
        <v>1160</v>
      </c>
      <c r="B1148" t="s">
        <v>4808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 t="str">
        <f>IF((Sheet1[[#This Row],[Quantity]]*Sheet1[[#This Row],[UnitPrice]])=(Sheet1[[#This Row],[TotalPrice]]), "True", "False")</f>
        <v>True</v>
      </c>
      <c r="P1148" t="str">
        <f>IF((Sheet1[[#This Row],[ItemsInCart]]&gt;=Sheet1[[#This Row],[Quantity]]), "Good", "Bad")</f>
        <v>Good</v>
      </c>
      <c r="Q1148" t="str">
        <f t="shared" si="85"/>
        <v>OK</v>
      </c>
      <c r="R1148" t="str">
        <f t="shared" si="86"/>
        <v>BAD</v>
      </c>
      <c r="S1148">
        <f t="shared" si="87"/>
        <v>0</v>
      </c>
      <c r="T1148">
        <f t="shared" si="88"/>
        <v>1</v>
      </c>
      <c r="U1148" t="str">
        <f t="shared" si="89"/>
        <v>DOCUMENTED</v>
      </c>
    </row>
    <row r="1149" spans="1:21">
      <c r="A1149" t="s">
        <v>1161</v>
      </c>
      <c r="B1149" t="s">
        <v>4426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 t="str">
        <f>IF((Sheet1[[#This Row],[Quantity]]*Sheet1[[#This Row],[UnitPrice]])=(Sheet1[[#This Row],[TotalPrice]]), "True", "False")</f>
        <v>True</v>
      </c>
      <c r="P1149" t="str">
        <f>IF((Sheet1[[#This Row],[ItemsInCart]]&gt;=Sheet1[[#This Row],[Quantity]]), "Good", "Bad")</f>
        <v>Good</v>
      </c>
      <c r="Q1149" t="str">
        <f t="shared" si="85"/>
        <v>OK</v>
      </c>
      <c r="R1149" t="str">
        <f t="shared" si="86"/>
        <v>BAD</v>
      </c>
      <c r="S1149">
        <f t="shared" si="87"/>
        <v>0</v>
      </c>
      <c r="T1149">
        <f t="shared" si="88"/>
        <v>1</v>
      </c>
      <c r="U1149" t="str">
        <f t="shared" si="89"/>
        <v>DOCUMENTED</v>
      </c>
    </row>
    <row r="1150" spans="1:21">
      <c r="A1150" t="s">
        <v>1162</v>
      </c>
      <c r="B1150" t="s">
        <v>4894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 t="str">
        <f>IF((Sheet1[[#This Row],[Quantity]]*Sheet1[[#This Row],[UnitPrice]])=(Sheet1[[#This Row],[TotalPrice]]), "True", "False")</f>
        <v>True</v>
      </c>
      <c r="P1150" t="str">
        <f>IF((Sheet1[[#This Row],[ItemsInCart]]&gt;=Sheet1[[#This Row],[Quantity]]), "Good", "Bad")</f>
        <v>Good</v>
      </c>
      <c r="Q1150" t="str">
        <f t="shared" si="85"/>
        <v>OK</v>
      </c>
      <c r="R1150" t="str">
        <f t="shared" si="86"/>
        <v>GOOD</v>
      </c>
      <c r="S1150">
        <f t="shared" si="87"/>
        <v>0</v>
      </c>
      <c r="T1150">
        <f t="shared" si="88"/>
        <v>0</v>
      </c>
      <c r="U1150" t="str">
        <f t="shared" si="89"/>
        <v>OK</v>
      </c>
    </row>
    <row r="1151" spans="1:21">
      <c r="A1151" t="s">
        <v>1163</v>
      </c>
      <c r="B1151" t="s">
        <v>4851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 t="str">
        <f>IF((Sheet1[[#This Row],[Quantity]]*Sheet1[[#This Row],[UnitPrice]])=(Sheet1[[#This Row],[TotalPrice]]), "True", "False")</f>
        <v>True</v>
      </c>
      <c r="P1151" t="str">
        <f>IF((Sheet1[[#This Row],[ItemsInCart]]&gt;=Sheet1[[#This Row],[Quantity]]), "Good", "Bad")</f>
        <v>Good</v>
      </c>
      <c r="Q1151" t="str">
        <f t="shared" si="85"/>
        <v>OK</v>
      </c>
      <c r="R1151" t="str">
        <f t="shared" si="86"/>
        <v>BAD</v>
      </c>
      <c r="S1151">
        <f t="shared" si="87"/>
        <v>0</v>
      </c>
      <c r="T1151">
        <f t="shared" si="88"/>
        <v>1</v>
      </c>
      <c r="U1151" t="str">
        <f t="shared" si="89"/>
        <v>DOCUMENTED</v>
      </c>
    </row>
    <row r="1152" spans="1:21">
      <c r="A1152" t="s">
        <v>1164</v>
      </c>
      <c r="B1152" t="s">
        <v>4498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 t="str">
        <f>IF((Sheet1[[#This Row],[Quantity]]*Sheet1[[#This Row],[UnitPrice]])=(Sheet1[[#This Row],[TotalPrice]]), "True", "False")</f>
        <v>True</v>
      </c>
      <c r="P1152" t="str">
        <f>IF((Sheet1[[#This Row],[ItemsInCart]]&gt;=Sheet1[[#This Row],[Quantity]]), "Good", "Bad")</f>
        <v>Good</v>
      </c>
      <c r="Q1152" t="str">
        <f t="shared" si="85"/>
        <v>OK</v>
      </c>
      <c r="R1152" t="str">
        <f t="shared" si="86"/>
        <v>BAD</v>
      </c>
      <c r="S1152">
        <f t="shared" si="87"/>
        <v>0</v>
      </c>
      <c r="T1152">
        <f t="shared" si="88"/>
        <v>1</v>
      </c>
      <c r="U1152" t="str">
        <f t="shared" si="89"/>
        <v>REVIEW_RETURN</v>
      </c>
    </row>
    <row r="1153" spans="1:21">
      <c r="A1153" t="s">
        <v>1165</v>
      </c>
      <c r="B1153" t="s">
        <v>4305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4961</v>
      </c>
      <c r="M1153" t="s">
        <v>4282</v>
      </c>
      <c r="N1153">
        <v>1216.08</v>
      </c>
      <c r="O1153" t="str">
        <f>IF((Sheet1[[#This Row],[Quantity]]*Sheet1[[#This Row],[UnitPrice]])=(Sheet1[[#This Row],[TotalPrice]]), "True", "False")</f>
        <v>True</v>
      </c>
      <c r="P1153" t="str">
        <f>IF((Sheet1[[#This Row],[ItemsInCart]]&gt;=Sheet1[[#This Row],[Quantity]]), "Good", "Bad")</f>
        <v>Good</v>
      </c>
      <c r="Q1153" t="str">
        <f t="shared" si="85"/>
        <v>OK</v>
      </c>
      <c r="R1153" t="str">
        <f t="shared" si="86"/>
        <v>BAD</v>
      </c>
      <c r="S1153">
        <f t="shared" si="87"/>
        <v>0</v>
      </c>
      <c r="T1153">
        <f t="shared" si="88"/>
        <v>1</v>
      </c>
      <c r="U1153" t="str">
        <f t="shared" si="89"/>
        <v>REVIEW_RETURN</v>
      </c>
    </row>
    <row r="1154" spans="1:21">
      <c r="A1154" t="s">
        <v>1166</v>
      </c>
      <c r="B1154" t="s">
        <v>4859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4961</v>
      </c>
      <c r="M1154" t="s">
        <v>4279</v>
      </c>
      <c r="N1154">
        <v>688.36</v>
      </c>
      <c r="O1154" t="str">
        <f>IF((Sheet1[[#This Row],[Quantity]]*Sheet1[[#This Row],[UnitPrice]])=(Sheet1[[#This Row],[TotalPrice]]), "True", "False")</f>
        <v>True</v>
      </c>
      <c r="P1154" t="str">
        <f>IF((Sheet1[[#This Row],[ItemsInCart]]&gt;=Sheet1[[#This Row],[Quantity]]), "Good", "Bad")</f>
        <v>Good</v>
      </c>
      <c r="Q1154" t="str">
        <f t="shared" ref="Q1154:Q1201" si="90">IF(AND(E1154&gt;0, F1154&gt;0,N1154&gt;0),"OK","INVALID")</f>
        <v>OK</v>
      </c>
      <c r="R1154" t="str">
        <f t="shared" ref="R1154:R1201" si="91">IF(OR(AND(OR(I1154="Shipped",I1154="Delivered",I1154="Returned"),J1154=""),AND(OR(I1154="Processing",I1154="Pending",I1154="Cancelled"),J1154&lt;&gt;"")),"BAD","GOOD")</f>
        <v>GOOD</v>
      </c>
      <c r="S1154">
        <f t="shared" ref="S1154:S1201" si="92">IF(AND(OR(I1154="Shipped",I1154="Delivered",I1154="Returned"),J1154=""),1,0)</f>
        <v>0</v>
      </c>
      <c r="T1154">
        <f t="shared" ref="T1154:T1201" si="93">IF(AND(OR(I1154="Processing",I1154="Pending",I1154="Cancelled"),J1154&lt;&gt;""),1,0)</f>
        <v>0</v>
      </c>
      <c r="U1154" t="str">
        <f t="shared" ref="U1154:U1201" si="94">IF(AND(OR(I1154="Shipped",I1154="Delivered"),J1154=""),"MISSING_TRACKING", IF(AND(OR(I1154="Processing",I1154="Pending"),J1154&lt;&gt;""),"DOCUMENTED", IF(AND(I1154="Cancelled",J1154&lt;&gt;""), "REVIEW_RETURN", "OK")))</f>
        <v>OK</v>
      </c>
    </row>
    <row r="1155" spans="1:21">
      <c r="A1155" t="s">
        <v>1167</v>
      </c>
      <c r="B1155" t="s">
        <v>4676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4961</v>
      </c>
      <c r="M1155" t="s">
        <v>4278</v>
      </c>
      <c r="N1155">
        <v>2786.84</v>
      </c>
      <c r="O1155" t="str">
        <f>IF((Sheet1[[#This Row],[Quantity]]*Sheet1[[#This Row],[UnitPrice]])=(Sheet1[[#This Row],[TotalPrice]]), "True", "False")</f>
        <v>True</v>
      </c>
      <c r="P1155" t="str">
        <f>IF((Sheet1[[#This Row],[ItemsInCart]]&gt;=Sheet1[[#This Row],[Quantity]]), "Good", "Bad")</f>
        <v>Good</v>
      </c>
      <c r="Q1155" t="str">
        <f t="shared" si="90"/>
        <v>OK</v>
      </c>
      <c r="R1155" t="str">
        <f t="shared" si="91"/>
        <v>GOOD</v>
      </c>
      <c r="S1155">
        <f t="shared" si="92"/>
        <v>0</v>
      </c>
      <c r="T1155">
        <f t="shared" si="93"/>
        <v>0</v>
      </c>
      <c r="U1155" t="str">
        <f t="shared" si="94"/>
        <v>OK</v>
      </c>
    </row>
    <row r="1156" spans="1:21">
      <c r="A1156" t="s">
        <v>1168</v>
      </c>
      <c r="B1156" t="s">
        <v>4396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 t="str">
        <f>IF((Sheet1[[#This Row],[Quantity]]*Sheet1[[#This Row],[UnitPrice]])=(Sheet1[[#This Row],[TotalPrice]]), "True", "False")</f>
        <v>True</v>
      </c>
      <c r="P1156" t="str">
        <f>IF((Sheet1[[#This Row],[ItemsInCart]]&gt;=Sheet1[[#This Row],[Quantity]]), "Good", "Bad")</f>
        <v>Good</v>
      </c>
      <c r="Q1156" t="str">
        <f t="shared" si="90"/>
        <v>OK</v>
      </c>
      <c r="R1156" t="str">
        <f t="shared" si="91"/>
        <v>BAD</v>
      </c>
      <c r="S1156">
        <f t="shared" si="92"/>
        <v>0</v>
      </c>
      <c r="T1156">
        <f t="shared" si="93"/>
        <v>1</v>
      </c>
      <c r="U1156" t="str">
        <f t="shared" si="94"/>
        <v>DOCUMENTED</v>
      </c>
    </row>
    <row r="1157" spans="1:21">
      <c r="A1157" t="s">
        <v>1169</v>
      </c>
      <c r="B1157" t="s">
        <v>4623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 t="str">
        <f>IF((Sheet1[[#This Row],[Quantity]]*Sheet1[[#This Row],[UnitPrice]])=(Sheet1[[#This Row],[TotalPrice]]), "True", "False")</f>
        <v>True</v>
      </c>
      <c r="P1157" t="str">
        <f>IF((Sheet1[[#This Row],[ItemsInCart]]&gt;=Sheet1[[#This Row],[Quantity]]), "Good", "Bad")</f>
        <v>Good</v>
      </c>
      <c r="Q1157" t="str">
        <f t="shared" si="90"/>
        <v>OK</v>
      </c>
      <c r="R1157" t="str">
        <f t="shared" si="91"/>
        <v>GOOD</v>
      </c>
      <c r="S1157">
        <f t="shared" si="92"/>
        <v>0</v>
      </c>
      <c r="T1157">
        <f t="shared" si="93"/>
        <v>0</v>
      </c>
      <c r="U1157" t="str">
        <f t="shared" si="94"/>
        <v>OK</v>
      </c>
    </row>
    <row r="1158" spans="1:21">
      <c r="A1158" t="s">
        <v>1170</v>
      </c>
      <c r="B1158" t="s">
        <v>4328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4961</v>
      </c>
      <c r="M1158" t="s">
        <v>4279</v>
      </c>
      <c r="N1158">
        <v>2763.12</v>
      </c>
      <c r="O1158" t="str">
        <f>IF((Sheet1[[#This Row],[Quantity]]*Sheet1[[#This Row],[UnitPrice]])=(Sheet1[[#This Row],[TotalPrice]]), "True", "False")</f>
        <v>True</v>
      </c>
      <c r="P1158" t="str">
        <f>IF((Sheet1[[#This Row],[ItemsInCart]]&gt;=Sheet1[[#This Row],[Quantity]]), "Good", "Bad")</f>
        <v>Good</v>
      </c>
      <c r="Q1158" t="str">
        <f t="shared" si="90"/>
        <v>OK</v>
      </c>
      <c r="R1158" t="str">
        <f t="shared" si="91"/>
        <v>GOOD</v>
      </c>
      <c r="S1158">
        <f t="shared" si="92"/>
        <v>0</v>
      </c>
      <c r="T1158">
        <f t="shared" si="93"/>
        <v>0</v>
      </c>
      <c r="U1158" t="str">
        <f t="shared" si="94"/>
        <v>OK</v>
      </c>
    </row>
    <row r="1159" spans="1:21">
      <c r="A1159" t="s">
        <v>1171</v>
      </c>
      <c r="B1159" t="s">
        <v>4665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 t="str">
        <f>IF((Sheet1[[#This Row],[Quantity]]*Sheet1[[#This Row],[UnitPrice]])=(Sheet1[[#This Row],[TotalPrice]]), "True", "False")</f>
        <v>True</v>
      </c>
      <c r="P1159" t="str">
        <f>IF((Sheet1[[#This Row],[ItemsInCart]]&gt;=Sheet1[[#This Row],[Quantity]]), "Good", "Bad")</f>
        <v>Good</v>
      </c>
      <c r="Q1159" t="str">
        <f t="shared" si="90"/>
        <v>OK</v>
      </c>
      <c r="R1159" t="str">
        <f t="shared" si="91"/>
        <v>GOOD</v>
      </c>
      <c r="S1159">
        <f t="shared" si="92"/>
        <v>0</v>
      </c>
      <c r="T1159">
        <f t="shared" si="93"/>
        <v>0</v>
      </c>
      <c r="U1159" t="str">
        <f t="shared" si="94"/>
        <v>OK</v>
      </c>
    </row>
    <row r="1160" spans="1:21">
      <c r="A1160" t="s">
        <v>1172</v>
      </c>
      <c r="B1160" t="s">
        <v>4480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 t="str">
        <f>IF((Sheet1[[#This Row],[Quantity]]*Sheet1[[#This Row],[UnitPrice]])=(Sheet1[[#This Row],[TotalPrice]]), "True", "False")</f>
        <v>True</v>
      </c>
      <c r="P1160" t="str">
        <f>IF((Sheet1[[#This Row],[ItemsInCart]]&gt;=Sheet1[[#This Row],[Quantity]]), "Good", "Bad")</f>
        <v>Good</v>
      </c>
      <c r="Q1160" t="str">
        <f t="shared" si="90"/>
        <v>OK</v>
      </c>
      <c r="R1160" t="str">
        <f t="shared" si="91"/>
        <v>BAD</v>
      </c>
      <c r="S1160">
        <f t="shared" si="92"/>
        <v>0</v>
      </c>
      <c r="T1160">
        <f t="shared" si="93"/>
        <v>1</v>
      </c>
      <c r="U1160" t="str">
        <f t="shared" si="94"/>
        <v>DOCUMENTED</v>
      </c>
    </row>
    <row r="1161" spans="1:21">
      <c r="A1161" t="s">
        <v>1173</v>
      </c>
      <c r="B1161" t="s">
        <v>4486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4961</v>
      </c>
      <c r="M1161" t="s">
        <v>4278</v>
      </c>
      <c r="N1161">
        <v>1866.8</v>
      </c>
      <c r="O1161" t="str">
        <f>IF((Sheet1[[#This Row],[Quantity]]*Sheet1[[#This Row],[UnitPrice]])=(Sheet1[[#This Row],[TotalPrice]]), "True", "False")</f>
        <v>True</v>
      </c>
      <c r="P1161" t="str">
        <f>IF((Sheet1[[#This Row],[ItemsInCart]]&gt;=Sheet1[[#This Row],[Quantity]]), "Good", "Bad")</f>
        <v>Good</v>
      </c>
      <c r="Q1161" t="str">
        <f t="shared" si="90"/>
        <v>OK</v>
      </c>
      <c r="R1161" t="str">
        <f t="shared" si="91"/>
        <v>GOOD</v>
      </c>
      <c r="S1161">
        <f t="shared" si="92"/>
        <v>0</v>
      </c>
      <c r="T1161">
        <f t="shared" si="93"/>
        <v>0</v>
      </c>
      <c r="U1161" t="str">
        <f t="shared" si="94"/>
        <v>OK</v>
      </c>
    </row>
    <row r="1162" spans="1:21">
      <c r="A1162" t="s">
        <v>1174</v>
      </c>
      <c r="B1162" t="s">
        <v>4616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 t="str">
        <f>IF((Sheet1[[#This Row],[Quantity]]*Sheet1[[#This Row],[UnitPrice]])=(Sheet1[[#This Row],[TotalPrice]]), "True", "False")</f>
        <v>True</v>
      </c>
      <c r="P1162" t="str">
        <f>IF((Sheet1[[#This Row],[ItemsInCart]]&gt;=Sheet1[[#This Row],[Quantity]]), "Good", "Bad")</f>
        <v>Good</v>
      </c>
      <c r="Q1162" t="str">
        <f t="shared" si="90"/>
        <v>OK</v>
      </c>
      <c r="R1162" t="str">
        <f t="shared" si="91"/>
        <v>GOOD</v>
      </c>
      <c r="S1162">
        <f t="shared" si="92"/>
        <v>0</v>
      </c>
      <c r="T1162">
        <f t="shared" si="93"/>
        <v>0</v>
      </c>
      <c r="U1162" t="str">
        <f t="shared" si="94"/>
        <v>OK</v>
      </c>
    </row>
    <row r="1163" spans="1:21">
      <c r="A1163" t="s">
        <v>1175</v>
      </c>
      <c r="B1163" t="s">
        <v>4787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 t="str">
        <f>IF((Sheet1[[#This Row],[Quantity]]*Sheet1[[#This Row],[UnitPrice]])=(Sheet1[[#This Row],[TotalPrice]]), "True", "False")</f>
        <v>True</v>
      </c>
      <c r="P1163" t="str">
        <f>IF((Sheet1[[#This Row],[ItemsInCart]]&gt;=Sheet1[[#This Row],[Quantity]]), "Good", "Bad")</f>
        <v>Good</v>
      </c>
      <c r="Q1163" t="str">
        <f t="shared" si="90"/>
        <v>OK</v>
      </c>
      <c r="R1163" t="str">
        <f t="shared" si="91"/>
        <v>BAD</v>
      </c>
      <c r="S1163">
        <f t="shared" si="92"/>
        <v>0</v>
      </c>
      <c r="T1163">
        <f t="shared" si="93"/>
        <v>1</v>
      </c>
      <c r="U1163" t="str">
        <f t="shared" si="94"/>
        <v>REVIEW_RETURN</v>
      </c>
    </row>
    <row r="1164" spans="1:21">
      <c r="A1164" t="s">
        <v>1176</v>
      </c>
      <c r="B1164" t="s">
        <v>4943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 t="str">
        <f>IF((Sheet1[[#This Row],[Quantity]]*Sheet1[[#This Row],[UnitPrice]])=(Sheet1[[#This Row],[TotalPrice]]), "True", "False")</f>
        <v>True</v>
      </c>
      <c r="P1164" t="str">
        <f>IF((Sheet1[[#This Row],[ItemsInCart]]&gt;=Sheet1[[#This Row],[Quantity]]), "Good", "Bad")</f>
        <v>Good</v>
      </c>
      <c r="Q1164" t="str">
        <f t="shared" si="90"/>
        <v>OK</v>
      </c>
      <c r="R1164" t="str">
        <f t="shared" si="91"/>
        <v>GOOD</v>
      </c>
      <c r="S1164">
        <f t="shared" si="92"/>
        <v>0</v>
      </c>
      <c r="T1164">
        <f t="shared" si="93"/>
        <v>0</v>
      </c>
      <c r="U1164" t="str">
        <f t="shared" si="94"/>
        <v>OK</v>
      </c>
    </row>
    <row r="1165" spans="1:21">
      <c r="A1165" t="s">
        <v>1177</v>
      </c>
      <c r="B1165" t="s">
        <v>4467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 t="str">
        <f>IF((Sheet1[[#This Row],[Quantity]]*Sheet1[[#This Row],[UnitPrice]])=(Sheet1[[#This Row],[TotalPrice]]), "True", "False")</f>
        <v>True</v>
      </c>
      <c r="P1165" t="str">
        <f>IF((Sheet1[[#This Row],[ItemsInCart]]&gt;=Sheet1[[#This Row],[Quantity]]), "Good", "Bad")</f>
        <v>Good</v>
      </c>
      <c r="Q1165" t="str">
        <f t="shared" si="90"/>
        <v>OK</v>
      </c>
      <c r="R1165" t="str">
        <f t="shared" si="91"/>
        <v>GOOD</v>
      </c>
      <c r="S1165">
        <f t="shared" si="92"/>
        <v>0</v>
      </c>
      <c r="T1165">
        <f t="shared" si="93"/>
        <v>0</v>
      </c>
      <c r="U1165" t="str">
        <f t="shared" si="94"/>
        <v>OK</v>
      </c>
    </row>
    <row r="1166" spans="1:21">
      <c r="A1166" t="s">
        <v>1178</v>
      </c>
      <c r="B1166" t="s">
        <v>4932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 t="str">
        <f>IF((Sheet1[[#This Row],[Quantity]]*Sheet1[[#This Row],[UnitPrice]])=(Sheet1[[#This Row],[TotalPrice]]), "True", "False")</f>
        <v>True</v>
      </c>
      <c r="P1166" t="str">
        <f>IF((Sheet1[[#This Row],[ItemsInCart]]&gt;=Sheet1[[#This Row],[Quantity]]), "Good", "Bad")</f>
        <v>Good</v>
      </c>
      <c r="Q1166" t="str">
        <f t="shared" si="90"/>
        <v>OK</v>
      </c>
      <c r="R1166" t="str">
        <f t="shared" si="91"/>
        <v>GOOD</v>
      </c>
      <c r="S1166">
        <f t="shared" si="92"/>
        <v>0</v>
      </c>
      <c r="T1166">
        <f t="shared" si="93"/>
        <v>0</v>
      </c>
      <c r="U1166" t="str">
        <f t="shared" si="94"/>
        <v>OK</v>
      </c>
    </row>
    <row r="1167" spans="1:21">
      <c r="A1167" t="s">
        <v>1179</v>
      </c>
      <c r="B1167" t="s">
        <v>4611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4961</v>
      </c>
      <c r="M1167" t="s">
        <v>4282</v>
      </c>
      <c r="N1167">
        <v>671.37</v>
      </c>
      <c r="O1167" t="str">
        <f>IF((Sheet1[[#This Row],[Quantity]]*Sheet1[[#This Row],[UnitPrice]])=(Sheet1[[#This Row],[TotalPrice]]), "True", "False")</f>
        <v>True</v>
      </c>
      <c r="P1167" t="str">
        <f>IF((Sheet1[[#This Row],[ItemsInCart]]&gt;=Sheet1[[#This Row],[Quantity]]), "Good", "Bad")</f>
        <v>Good</v>
      </c>
      <c r="Q1167" t="str">
        <f t="shared" si="90"/>
        <v>OK</v>
      </c>
      <c r="R1167" t="str">
        <f t="shared" si="91"/>
        <v>BAD</v>
      </c>
      <c r="S1167">
        <f t="shared" si="92"/>
        <v>0</v>
      </c>
      <c r="T1167">
        <f t="shared" si="93"/>
        <v>1</v>
      </c>
      <c r="U1167" t="str">
        <f t="shared" si="94"/>
        <v>DOCUMENTED</v>
      </c>
    </row>
    <row r="1168" spans="1:21">
      <c r="A1168" t="s">
        <v>1180</v>
      </c>
      <c r="B1168" t="s">
        <v>4331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 t="str">
        <f>IF((Sheet1[[#This Row],[Quantity]]*Sheet1[[#This Row],[UnitPrice]])=(Sheet1[[#This Row],[TotalPrice]]), "True", "False")</f>
        <v>True</v>
      </c>
      <c r="P1168" t="str">
        <f>IF((Sheet1[[#This Row],[ItemsInCart]]&gt;=Sheet1[[#This Row],[Quantity]]), "Good", "Bad")</f>
        <v>Good</v>
      </c>
      <c r="Q1168" t="str">
        <f t="shared" si="90"/>
        <v>OK</v>
      </c>
      <c r="R1168" t="str">
        <f t="shared" si="91"/>
        <v>GOOD</v>
      </c>
      <c r="S1168">
        <f t="shared" si="92"/>
        <v>0</v>
      </c>
      <c r="T1168">
        <f t="shared" si="93"/>
        <v>0</v>
      </c>
      <c r="U1168" t="str">
        <f t="shared" si="94"/>
        <v>OK</v>
      </c>
    </row>
    <row r="1169" spans="1:21">
      <c r="A1169" t="s">
        <v>1181</v>
      </c>
      <c r="B1169" t="s">
        <v>4944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 t="str">
        <f>IF((Sheet1[[#This Row],[Quantity]]*Sheet1[[#This Row],[UnitPrice]])=(Sheet1[[#This Row],[TotalPrice]]), "True", "False")</f>
        <v>True</v>
      </c>
      <c r="P1169" t="str">
        <f>IF((Sheet1[[#This Row],[ItemsInCart]]&gt;=Sheet1[[#This Row],[Quantity]]), "Good", "Bad")</f>
        <v>Good</v>
      </c>
      <c r="Q1169" t="str">
        <f t="shared" si="90"/>
        <v>OK</v>
      </c>
      <c r="R1169" t="str">
        <f t="shared" si="91"/>
        <v>BAD</v>
      </c>
      <c r="S1169">
        <f t="shared" si="92"/>
        <v>0</v>
      </c>
      <c r="T1169">
        <f t="shared" si="93"/>
        <v>1</v>
      </c>
      <c r="U1169" t="str">
        <f t="shared" si="94"/>
        <v>DOCUMENTED</v>
      </c>
    </row>
    <row r="1170" spans="1:21">
      <c r="A1170" t="s">
        <v>1182</v>
      </c>
      <c r="B1170" t="s">
        <v>4788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 t="str">
        <f>IF((Sheet1[[#This Row],[Quantity]]*Sheet1[[#This Row],[UnitPrice]])=(Sheet1[[#This Row],[TotalPrice]]), "True", "False")</f>
        <v>True</v>
      </c>
      <c r="P1170" t="str">
        <f>IF((Sheet1[[#This Row],[ItemsInCart]]&gt;=Sheet1[[#This Row],[Quantity]]), "Good", "Bad")</f>
        <v>Good</v>
      </c>
      <c r="Q1170" t="str">
        <f t="shared" si="90"/>
        <v>OK</v>
      </c>
      <c r="R1170" t="str">
        <f t="shared" si="91"/>
        <v>GOOD</v>
      </c>
      <c r="S1170">
        <f t="shared" si="92"/>
        <v>0</v>
      </c>
      <c r="T1170">
        <f t="shared" si="93"/>
        <v>0</v>
      </c>
      <c r="U1170" t="str">
        <f t="shared" si="94"/>
        <v>OK</v>
      </c>
    </row>
    <row r="1171" spans="1:21">
      <c r="A1171" t="s">
        <v>1183</v>
      </c>
      <c r="B1171" t="s">
        <v>4945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 t="str">
        <f>IF((Sheet1[[#This Row],[Quantity]]*Sheet1[[#This Row],[UnitPrice]])=(Sheet1[[#This Row],[TotalPrice]]), "True", "False")</f>
        <v>True</v>
      </c>
      <c r="P1171" t="str">
        <f>IF((Sheet1[[#This Row],[ItemsInCart]]&gt;=Sheet1[[#This Row],[Quantity]]), "Good", "Bad")</f>
        <v>Good</v>
      </c>
      <c r="Q1171" t="str">
        <f t="shared" si="90"/>
        <v>OK</v>
      </c>
      <c r="R1171" t="str">
        <f t="shared" si="91"/>
        <v>BAD</v>
      </c>
      <c r="S1171">
        <f t="shared" si="92"/>
        <v>0</v>
      </c>
      <c r="T1171">
        <f t="shared" si="93"/>
        <v>1</v>
      </c>
      <c r="U1171" t="str">
        <f t="shared" si="94"/>
        <v>REVIEW_RETURN</v>
      </c>
    </row>
    <row r="1172" spans="1:21">
      <c r="A1172" t="s">
        <v>1184</v>
      </c>
      <c r="B1172" t="s">
        <v>4850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 t="str">
        <f>IF((Sheet1[[#This Row],[Quantity]]*Sheet1[[#This Row],[UnitPrice]])=(Sheet1[[#This Row],[TotalPrice]]), "True", "False")</f>
        <v>True</v>
      </c>
      <c r="P1172" t="str">
        <f>IF((Sheet1[[#This Row],[ItemsInCart]]&gt;=Sheet1[[#This Row],[Quantity]]), "Good", "Bad")</f>
        <v>Good</v>
      </c>
      <c r="Q1172" t="str">
        <f t="shared" si="90"/>
        <v>OK</v>
      </c>
      <c r="R1172" t="str">
        <f t="shared" si="91"/>
        <v>GOOD</v>
      </c>
      <c r="S1172">
        <f t="shared" si="92"/>
        <v>0</v>
      </c>
      <c r="T1172">
        <f t="shared" si="93"/>
        <v>0</v>
      </c>
      <c r="U1172" t="str">
        <f t="shared" si="94"/>
        <v>OK</v>
      </c>
    </row>
    <row r="1173" spans="1:21">
      <c r="A1173" t="s">
        <v>1185</v>
      </c>
      <c r="B1173" t="s">
        <v>4364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 t="str">
        <f>IF((Sheet1[[#This Row],[Quantity]]*Sheet1[[#This Row],[UnitPrice]])=(Sheet1[[#This Row],[TotalPrice]]), "True", "False")</f>
        <v>True</v>
      </c>
      <c r="P1173" t="str">
        <f>IF((Sheet1[[#This Row],[ItemsInCart]]&gt;=Sheet1[[#This Row],[Quantity]]), "Good", "Bad")</f>
        <v>Good</v>
      </c>
      <c r="Q1173" t="str">
        <f t="shared" si="90"/>
        <v>OK</v>
      </c>
      <c r="R1173" t="str">
        <f t="shared" si="91"/>
        <v>GOOD</v>
      </c>
      <c r="S1173">
        <f t="shared" si="92"/>
        <v>0</v>
      </c>
      <c r="T1173">
        <f t="shared" si="93"/>
        <v>0</v>
      </c>
      <c r="U1173" t="str">
        <f t="shared" si="94"/>
        <v>OK</v>
      </c>
    </row>
    <row r="1174" spans="1:21">
      <c r="A1174" t="s">
        <v>1186</v>
      </c>
      <c r="B1174" t="s">
        <v>4779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4961</v>
      </c>
      <c r="M1174" t="s">
        <v>4278</v>
      </c>
      <c r="N1174">
        <v>395.88</v>
      </c>
      <c r="O1174" t="str">
        <f>IF((Sheet1[[#This Row],[Quantity]]*Sheet1[[#This Row],[UnitPrice]])=(Sheet1[[#This Row],[TotalPrice]]), "True", "False")</f>
        <v>True</v>
      </c>
      <c r="P1174" t="str">
        <f>IF((Sheet1[[#This Row],[ItemsInCart]]&gt;=Sheet1[[#This Row],[Quantity]]), "Good", "Bad")</f>
        <v>Good</v>
      </c>
      <c r="Q1174" t="str">
        <f t="shared" si="90"/>
        <v>OK</v>
      </c>
      <c r="R1174" t="str">
        <f t="shared" si="91"/>
        <v>BAD</v>
      </c>
      <c r="S1174">
        <f t="shared" si="92"/>
        <v>0</v>
      </c>
      <c r="T1174">
        <f t="shared" si="93"/>
        <v>1</v>
      </c>
      <c r="U1174" t="str">
        <f t="shared" si="94"/>
        <v>DOCUMENTED</v>
      </c>
    </row>
    <row r="1175" spans="1:21">
      <c r="A1175" t="s">
        <v>1187</v>
      </c>
      <c r="B1175" t="s">
        <v>4732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 t="str">
        <f>IF((Sheet1[[#This Row],[Quantity]]*Sheet1[[#This Row],[UnitPrice]])=(Sheet1[[#This Row],[TotalPrice]]), "True", "False")</f>
        <v>True</v>
      </c>
      <c r="P1175" t="str">
        <f>IF((Sheet1[[#This Row],[ItemsInCart]]&gt;=Sheet1[[#This Row],[Quantity]]), "Good", "Bad")</f>
        <v>Good</v>
      </c>
      <c r="Q1175" t="str">
        <f t="shared" si="90"/>
        <v>OK</v>
      </c>
      <c r="R1175" t="str">
        <f t="shared" si="91"/>
        <v>GOOD</v>
      </c>
      <c r="S1175">
        <f t="shared" si="92"/>
        <v>0</v>
      </c>
      <c r="T1175">
        <f t="shared" si="93"/>
        <v>0</v>
      </c>
      <c r="U1175" t="str">
        <f t="shared" si="94"/>
        <v>OK</v>
      </c>
    </row>
    <row r="1176" spans="1:21">
      <c r="A1176" t="s">
        <v>1188</v>
      </c>
      <c r="B1176" t="s">
        <v>4393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 t="str">
        <f>IF((Sheet1[[#This Row],[Quantity]]*Sheet1[[#This Row],[UnitPrice]])=(Sheet1[[#This Row],[TotalPrice]]), "True", "False")</f>
        <v>True</v>
      </c>
      <c r="P1176" t="str">
        <f>IF((Sheet1[[#This Row],[ItemsInCart]]&gt;=Sheet1[[#This Row],[Quantity]]), "Good", "Bad")</f>
        <v>Good</v>
      </c>
      <c r="Q1176" t="str">
        <f t="shared" si="90"/>
        <v>OK</v>
      </c>
      <c r="R1176" t="str">
        <f t="shared" si="91"/>
        <v>GOOD</v>
      </c>
      <c r="S1176">
        <f t="shared" si="92"/>
        <v>0</v>
      </c>
      <c r="T1176">
        <f t="shared" si="93"/>
        <v>0</v>
      </c>
      <c r="U1176" t="str">
        <f t="shared" si="94"/>
        <v>OK</v>
      </c>
    </row>
    <row r="1177" spans="1:21">
      <c r="A1177" t="s">
        <v>1189</v>
      </c>
      <c r="B1177" t="s">
        <v>4946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 t="str">
        <f>IF((Sheet1[[#This Row],[Quantity]]*Sheet1[[#This Row],[UnitPrice]])=(Sheet1[[#This Row],[TotalPrice]]), "True", "False")</f>
        <v>True</v>
      </c>
      <c r="P1177" t="str">
        <f>IF((Sheet1[[#This Row],[ItemsInCart]]&gt;=Sheet1[[#This Row],[Quantity]]), "Good", "Bad")</f>
        <v>Good</v>
      </c>
      <c r="Q1177" t="str">
        <f t="shared" si="90"/>
        <v>OK</v>
      </c>
      <c r="R1177" t="str">
        <f t="shared" si="91"/>
        <v>GOOD</v>
      </c>
      <c r="S1177">
        <f t="shared" si="92"/>
        <v>0</v>
      </c>
      <c r="T1177">
        <f t="shared" si="93"/>
        <v>0</v>
      </c>
      <c r="U1177" t="str">
        <f t="shared" si="94"/>
        <v>OK</v>
      </c>
    </row>
    <row r="1178" spans="1:21">
      <c r="A1178" t="s">
        <v>1190</v>
      </c>
      <c r="B1178" t="s">
        <v>4623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 t="str">
        <f>IF((Sheet1[[#This Row],[Quantity]]*Sheet1[[#This Row],[UnitPrice]])=(Sheet1[[#This Row],[TotalPrice]]), "True", "False")</f>
        <v>True</v>
      </c>
      <c r="P1178" t="str">
        <f>IF((Sheet1[[#This Row],[ItemsInCart]]&gt;=Sheet1[[#This Row],[Quantity]]), "Good", "Bad")</f>
        <v>Good</v>
      </c>
      <c r="Q1178" t="str">
        <f t="shared" si="90"/>
        <v>OK</v>
      </c>
      <c r="R1178" t="str">
        <f t="shared" si="91"/>
        <v>BAD</v>
      </c>
      <c r="S1178">
        <f t="shared" si="92"/>
        <v>0</v>
      </c>
      <c r="T1178">
        <f t="shared" si="93"/>
        <v>1</v>
      </c>
      <c r="U1178" t="str">
        <f t="shared" si="94"/>
        <v>REVIEW_RETURN</v>
      </c>
    </row>
    <row r="1179" spans="1:21">
      <c r="A1179" t="s">
        <v>1191</v>
      </c>
      <c r="B1179" t="s">
        <v>4947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 t="str">
        <f>IF((Sheet1[[#This Row],[Quantity]]*Sheet1[[#This Row],[UnitPrice]])=(Sheet1[[#This Row],[TotalPrice]]), "True", "False")</f>
        <v>True</v>
      </c>
      <c r="P1179" t="str">
        <f>IF((Sheet1[[#This Row],[ItemsInCart]]&gt;=Sheet1[[#This Row],[Quantity]]), "Good", "Bad")</f>
        <v>Good</v>
      </c>
      <c r="Q1179" t="str">
        <f t="shared" si="90"/>
        <v>OK</v>
      </c>
      <c r="R1179" t="str">
        <f t="shared" si="91"/>
        <v>GOOD</v>
      </c>
      <c r="S1179">
        <f t="shared" si="92"/>
        <v>0</v>
      </c>
      <c r="T1179">
        <f t="shared" si="93"/>
        <v>0</v>
      </c>
      <c r="U1179" t="str">
        <f t="shared" si="94"/>
        <v>OK</v>
      </c>
    </row>
    <row r="1180" spans="1:21">
      <c r="A1180" t="s">
        <v>1192</v>
      </c>
      <c r="B1180" t="s">
        <v>4333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 t="str">
        <f>IF((Sheet1[[#This Row],[Quantity]]*Sheet1[[#This Row],[UnitPrice]])=(Sheet1[[#This Row],[TotalPrice]]), "True", "False")</f>
        <v>True</v>
      </c>
      <c r="P1180" t="str">
        <f>IF((Sheet1[[#This Row],[ItemsInCart]]&gt;=Sheet1[[#This Row],[Quantity]]), "Good", "Bad")</f>
        <v>Good</v>
      </c>
      <c r="Q1180" t="str">
        <f t="shared" si="90"/>
        <v>OK</v>
      </c>
      <c r="R1180" t="str">
        <f t="shared" si="91"/>
        <v>BAD</v>
      </c>
      <c r="S1180">
        <f t="shared" si="92"/>
        <v>0</v>
      </c>
      <c r="T1180">
        <f t="shared" si="93"/>
        <v>1</v>
      </c>
      <c r="U1180" t="str">
        <f t="shared" si="94"/>
        <v>REVIEW_RETURN</v>
      </c>
    </row>
    <row r="1181" spans="1:21">
      <c r="A1181" t="s">
        <v>1193</v>
      </c>
      <c r="B1181" t="s">
        <v>4407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 t="str">
        <f>IF((Sheet1[[#This Row],[Quantity]]*Sheet1[[#This Row],[UnitPrice]])=(Sheet1[[#This Row],[TotalPrice]]), "True", "False")</f>
        <v>True</v>
      </c>
      <c r="P1181" t="str">
        <f>IF((Sheet1[[#This Row],[ItemsInCart]]&gt;=Sheet1[[#This Row],[Quantity]]), "Good", "Bad")</f>
        <v>Good</v>
      </c>
      <c r="Q1181" t="str">
        <f t="shared" si="90"/>
        <v>OK</v>
      </c>
      <c r="R1181" t="str">
        <f t="shared" si="91"/>
        <v>BAD</v>
      </c>
      <c r="S1181">
        <f t="shared" si="92"/>
        <v>0</v>
      </c>
      <c r="T1181">
        <f t="shared" si="93"/>
        <v>1</v>
      </c>
      <c r="U1181" t="str">
        <f t="shared" si="94"/>
        <v>REVIEW_RETURN</v>
      </c>
    </row>
    <row r="1182" spans="1:21">
      <c r="A1182" t="s">
        <v>1194</v>
      </c>
      <c r="B1182" t="s">
        <v>4433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 t="str">
        <f>IF((Sheet1[[#This Row],[Quantity]]*Sheet1[[#This Row],[UnitPrice]])=(Sheet1[[#This Row],[TotalPrice]]), "True", "False")</f>
        <v>True</v>
      </c>
      <c r="P1182" t="str">
        <f>IF((Sheet1[[#This Row],[ItemsInCart]]&gt;=Sheet1[[#This Row],[Quantity]]), "Good", "Bad")</f>
        <v>Good</v>
      </c>
      <c r="Q1182" t="str">
        <f t="shared" si="90"/>
        <v>OK</v>
      </c>
      <c r="R1182" t="str">
        <f t="shared" si="91"/>
        <v>BAD</v>
      </c>
      <c r="S1182">
        <f t="shared" si="92"/>
        <v>0</v>
      </c>
      <c r="T1182">
        <f t="shared" si="93"/>
        <v>1</v>
      </c>
      <c r="U1182" t="str">
        <f t="shared" si="94"/>
        <v>DOCUMENTED</v>
      </c>
    </row>
    <row r="1183" spans="1:21">
      <c r="A1183" t="s">
        <v>1195</v>
      </c>
      <c r="B1183" t="s">
        <v>4435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 t="str">
        <f>IF((Sheet1[[#This Row],[Quantity]]*Sheet1[[#This Row],[UnitPrice]])=(Sheet1[[#This Row],[TotalPrice]]), "True", "False")</f>
        <v>True</v>
      </c>
      <c r="P1183" t="str">
        <f>IF((Sheet1[[#This Row],[ItemsInCart]]&gt;=Sheet1[[#This Row],[Quantity]]), "Good", "Bad")</f>
        <v>Good</v>
      </c>
      <c r="Q1183" t="str">
        <f t="shared" si="90"/>
        <v>OK</v>
      </c>
      <c r="R1183" t="str">
        <f t="shared" si="91"/>
        <v>BAD</v>
      </c>
      <c r="S1183">
        <f t="shared" si="92"/>
        <v>0</v>
      </c>
      <c r="T1183">
        <f t="shared" si="93"/>
        <v>1</v>
      </c>
      <c r="U1183" t="str">
        <f t="shared" si="94"/>
        <v>DOCUMENTED</v>
      </c>
    </row>
    <row r="1184" spans="1:21">
      <c r="A1184" t="s">
        <v>1196</v>
      </c>
      <c r="B1184" t="s">
        <v>4837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 t="str">
        <f>IF((Sheet1[[#This Row],[Quantity]]*Sheet1[[#This Row],[UnitPrice]])=(Sheet1[[#This Row],[TotalPrice]]), "True", "False")</f>
        <v>True</v>
      </c>
      <c r="P1184" t="str">
        <f>IF((Sheet1[[#This Row],[ItemsInCart]]&gt;=Sheet1[[#This Row],[Quantity]]), "Good", "Bad")</f>
        <v>Good</v>
      </c>
      <c r="Q1184" t="str">
        <f t="shared" si="90"/>
        <v>OK</v>
      </c>
      <c r="R1184" t="str">
        <f t="shared" si="91"/>
        <v>GOOD</v>
      </c>
      <c r="S1184">
        <f t="shared" si="92"/>
        <v>0</v>
      </c>
      <c r="T1184">
        <f t="shared" si="93"/>
        <v>0</v>
      </c>
      <c r="U1184" t="str">
        <f t="shared" si="94"/>
        <v>OK</v>
      </c>
    </row>
    <row r="1185" spans="1:21">
      <c r="A1185" t="s">
        <v>1197</v>
      </c>
      <c r="B1185" t="s">
        <v>4511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 t="str">
        <f>IF((Sheet1[[#This Row],[Quantity]]*Sheet1[[#This Row],[UnitPrice]])=(Sheet1[[#This Row],[TotalPrice]]), "True", "False")</f>
        <v>True</v>
      </c>
      <c r="P1185" t="str">
        <f>IF((Sheet1[[#This Row],[ItemsInCart]]&gt;=Sheet1[[#This Row],[Quantity]]), "Good", "Bad")</f>
        <v>Good</v>
      </c>
      <c r="Q1185" t="str">
        <f t="shared" si="90"/>
        <v>OK</v>
      </c>
      <c r="R1185" t="str">
        <f t="shared" si="91"/>
        <v>GOOD</v>
      </c>
      <c r="S1185">
        <f t="shared" si="92"/>
        <v>0</v>
      </c>
      <c r="T1185">
        <f t="shared" si="93"/>
        <v>0</v>
      </c>
      <c r="U1185" t="str">
        <f t="shared" si="94"/>
        <v>OK</v>
      </c>
    </row>
    <row r="1186" spans="1:21">
      <c r="A1186" t="s">
        <v>1198</v>
      </c>
      <c r="B1186" t="s">
        <v>4893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4961</v>
      </c>
      <c r="M1186" t="s">
        <v>4282</v>
      </c>
      <c r="N1186">
        <v>204.08</v>
      </c>
      <c r="O1186" t="str">
        <f>IF((Sheet1[[#This Row],[Quantity]]*Sheet1[[#This Row],[UnitPrice]])=(Sheet1[[#This Row],[TotalPrice]]), "True", "False")</f>
        <v>True</v>
      </c>
      <c r="P1186" t="str">
        <f>IF((Sheet1[[#This Row],[ItemsInCart]]&gt;=Sheet1[[#This Row],[Quantity]]), "Good", "Bad")</f>
        <v>Good</v>
      </c>
      <c r="Q1186" t="str">
        <f t="shared" si="90"/>
        <v>OK</v>
      </c>
      <c r="R1186" t="str">
        <f t="shared" si="91"/>
        <v>GOOD</v>
      </c>
      <c r="S1186">
        <f t="shared" si="92"/>
        <v>0</v>
      </c>
      <c r="T1186">
        <f t="shared" si="93"/>
        <v>0</v>
      </c>
      <c r="U1186" t="str">
        <f t="shared" si="94"/>
        <v>OK</v>
      </c>
    </row>
    <row r="1187" spans="1:21">
      <c r="A1187" t="s">
        <v>1199</v>
      </c>
      <c r="B1187" t="s">
        <v>4948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 t="str">
        <f>IF((Sheet1[[#This Row],[Quantity]]*Sheet1[[#This Row],[UnitPrice]])=(Sheet1[[#This Row],[TotalPrice]]), "True", "False")</f>
        <v>True</v>
      </c>
      <c r="P1187" t="str">
        <f>IF((Sheet1[[#This Row],[ItemsInCart]]&gt;=Sheet1[[#This Row],[Quantity]]), "Good", "Bad")</f>
        <v>Good</v>
      </c>
      <c r="Q1187" t="str">
        <f t="shared" si="90"/>
        <v>OK</v>
      </c>
      <c r="R1187" t="str">
        <f t="shared" si="91"/>
        <v>GOOD</v>
      </c>
      <c r="S1187">
        <f t="shared" si="92"/>
        <v>0</v>
      </c>
      <c r="T1187">
        <f t="shared" si="93"/>
        <v>0</v>
      </c>
      <c r="U1187" t="str">
        <f t="shared" si="94"/>
        <v>OK</v>
      </c>
    </row>
    <row r="1188" spans="1:21">
      <c r="A1188" t="s">
        <v>1200</v>
      </c>
      <c r="B1188" t="s">
        <v>4417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 t="str">
        <f>IF((Sheet1[[#This Row],[Quantity]]*Sheet1[[#This Row],[UnitPrice]])=(Sheet1[[#This Row],[TotalPrice]]), "True", "False")</f>
        <v>True</v>
      </c>
      <c r="P1188" t="str">
        <f>IF((Sheet1[[#This Row],[ItemsInCart]]&gt;=Sheet1[[#This Row],[Quantity]]), "Good", "Bad")</f>
        <v>Good</v>
      </c>
      <c r="Q1188" t="str">
        <f t="shared" si="90"/>
        <v>OK</v>
      </c>
      <c r="R1188" t="str">
        <f t="shared" si="91"/>
        <v>GOOD</v>
      </c>
      <c r="S1188">
        <f t="shared" si="92"/>
        <v>0</v>
      </c>
      <c r="T1188">
        <f t="shared" si="93"/>
        <v>0</v>
      </c>
      <c r="U1188" t="str">
        <f t="shared" si="94"/>
        <v>OK</v>
      </c>
    </row>
    <row r="1189" spans="1:21">
      <c r="A1189" t="s">
        <v>1201</v>
      </c>
      <c r="B1189" t="s">
        <v>4489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 t="str">
        <f>IF((Sheet1[[#This Row],[Quantity]]*Sheet1[[#This Row],[UnitPrice]])=(Sheet1[[#This Row],[TotalPrice]]), "True", "False")</f>
        <v>True</v>
      </c>
      <c r="P1189" t="str">
        <f>IF((Sheet1[[#This Row],[ItemsInCart]]&gt;=Sheet1[[#This Row],[Quantity]]), "Good", "Bad")</f>
        <v>Good</v>
      </c>
      <c r="Q1189" t="str">
        <f t="shared" si="90"/>
        <v>OK</v>
      </c>
      <c r="R1189" t="str">
        <f t="shared" si="91"/>
        <v>GOOD</v>
      </c>
      <c r="S1189">
        <f t="shared" si="92"/>
        <v>0</v>
      </c>
      <c r="T1189">
        <f t="shared" si="93"/>
        <v>0</v>
      </c>
      <c r="U1189" t="str">
        <f t="shared" si="94"/>
        <v>OK</v>
      </c>
    </row>
    <row r="1190" spans="1:21">
      <c r="A1190" t="s">
        <v>1202</v>
      </c>
      <c r="B1190" t="s">
        <v>4330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 t="str">
        <f>IF((Sheet1[[#This Row],[Quantity]]*Sheet1[[#This Row],[UnitPrice]])=(Sheet1[[#This Row],[TotalPrice]]), "True", "False")</f>
        <v>True</v>
      </c>
      <c r="P1190" t="str">
        <f>IF((Sheet1[[#This Row],[ItemsInCart]]&gt;=Sheet1[[#This Row],[Quantity]]), "Good", "Bad")</f>
        <v>Good</v>
      </c>
      <c r="Q1190" t="str">
        <f t="shared" si="90"/>
        <v>OK</v>
      </c>
      <c r="R1190" t="str">
        <f t="shared" si="91"/>
        <v>GOOD</v>
      </c>
      <c r="S1190">
        <f t="shared" si="92"/>
        <v>0</v>
      </c>
      <c r="T1190">
        <f t="shared" si="93"/>
        <v>0</v>
      </c>
      <c r="U1190" t="str">
        <f t="shared" si="94"/>
        <v>OK</v>
      </c>
    </row>
    <row r="1191" spans="1:21">
      <c r="A1191" t="s">
        <v>1203</v>
      </c>
      <c r="B1191" t="s">
        <v>4949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4961</v>
      </c>
      <c r="M1191" t="s">
        <v>4279</v>
      </c>
      <c r="N1191">
        <v>1946.1</v>
      </c>
      <c r="O1191" t="str">
        <f>IF((Sheet1[[#This Row],[Quantity]]*Sheet1[[#This Row],[UnitPrice]])=(Sheet1[[#This Row],[TotalPrice]]), "True", "False")</f>
        <v>True</v>
      </c>
      <c r="P1191" t="str">
        <f>IF((Sheet1[[#This Row],[ItemsInCart]]&gt;=Sheet1[[#This Row],[Quantity]]), "Good", "Bad")</f>
        <v>Good</v>
      </c>
      <c r="Q1191" t="str">
        <f t="shared" si="90"/>
        <v>OK</v>
      </c>
      <c r="R1191" t="str">
        <f t="shared" si="91"/>
        <v>BAD</v>
      </c>
      <c r="S1191">
        <f t="shared" si="92"/>
        <v>0</v>
      </c>
      <c r="T1191">
        <f t="shared" si="93"/>
        <v>1</v>
      </c>
      <c r="U1191" t="str">
        <f t="shared" si="94"/>
        <v>REVIEW_RETURN</v>
      </c>
    </row>
    <row r="1192" spans="1:21">
      <c r="A1192" t="s">
        <v>1204</v>
      </c>
      <c r="B1192" t="s">
        <v>4930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 t="str">
        <f>IF((Sheet1[[#This Row],[Quantity]]*Sheet1[[#This Row],[UnitPrice]])=(Sheet1[[#This Row],[TotalPrice]]), "True", "False")</f>
        <v>True</v>
      </c>
      <c r="P1192" t="str">
        <f>IF((Sheet1[[#This Row],[ItemsInCart]]&gt;=Sheet1[[#This Row],[Quantity]]), "Good", "Bad")</f>
        <v>Good</v>
      </c>
      <c r="Q1192" t="str">
        <f t="shared" si="90"/>
        <v>OK</v>
      </c>
      <c r="R1192" t="str">
        <f t="shared" si="91"/>
        <v>GOOD</v>
      </c>
      <c r="S1192">
        <f t="shared" si="92"/>
        <v>0</v>
      </c>
      <c r="T1192">
        <f t="shared" si="93"/>
        <v>0</v>
      </c>
      <c r="U1192" t="str">
        <f t="shared" si="94"/>
        <v>OK</v>
      </c>
    </row>
    <row r="1193" spans="1:21">
      <c r="A1193" t="s">
        <v>1205</v>
      </c>
      <c r="B1193" t="s">
        <v>4724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 t="str">
        <f>IF((Sheet1[[#This Row],[Quantity]]*Sheet1[[#This Row],[UnitPrice]])=(Sheet1[[#This Row],[TotalPrice]]), "True", "False")</f>
        <v>True</v>
      </c>
      <c r="P1193" t="str">
        <f>IF((Sheet1[[#This Row],[ItemsInCart]]&gt;=Sheet1[[#This Row],[Quantity]]), "Good", "Bad")</f>
        <v>Good</v>
      </c>
      <c r="Q1193" t="str">
        <f t="shared" si="90"/>
        <v>OK</v>
      </c>
      <c r="R1193" t="str">
        <f t="shared" si="91"/>
        <v>BAD</v>
      </c>
      <c r="S1193">
        <f t="shared" si="92"/>
        <v>0</v>
      </c>
      <c r="T1193">
        <f t="shared" si="93"/>
        <v>1</v>
      </c>
      <c r="U1193" t="str">
        <f t="shared" si="94"/>
        <v>DOCUMENTED</v>
      </c>
    </row>
    <row r="1194" spans="1:21">
      <c r="A1194" t="s">
        <v>1206</v>
      </c>
      <c r="B1194" t="s">
        <v>4612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4961</v>
      </c>
      <c r="M1194" t="s">
        <v>4278</v>
      </c>
      <c r="N1194">
        <v>1298.55</v>
      </c>
      <c r="O1194" t="str">
        <f>IF((Sheet1[[#This Row],[Quantity]]*Sheet1[[#This Row],[UnitPrice]])=(Sheet1[[#This Row],[TotalPrice]]), "True", "False")</f>
        <v>True</v>
      </c>
      <c r="P1194" t="str">
        <f>IF((Sheet1[[#This Row],[ItemsInCart]]&gt;=Sheet1[[#This Row],[Quantity]]), "Good", "Bad")</f>
        <v>Good</v>
      </c>
      <c r="Q1194" t="str">
        <f t="shared" si="90"/>
        <v>OK</v>
      </c>
      <c r="R1194" t="str">
        <f t="shared" si="91"/>
        <v>BAD</v>
      </c>
      <c r="S1194">
        <f t="shared" si="92"/>
        <v>0</v>
      </c>
      <c r="T1194">
        <f t="shared" si="93"/>
        <v>1</v>
      </c>
      <c r="U1194" t="str">
        <f t="shared" si="94"/>
        <v>DOCUMENTED</v>
      </c>
    </row>
    <row r="1195" spans="1:21">
      <c r="A1195" t="s">
        <v>1207</v>
      </c>
      <c r="B1195" t="s">
        <v>4950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 t="str">
        <f>IF((Sheet1[[#This Row],[Quantity]]*Sheet1[[#This Row],[UnitPrice]])=(Sheet1[[#This Row],[TotalPrice]]), "True", "False")</f>
        <v>True</v>
      </c>
      <c r="P1195" t="str">
        <f>IF((Sheet1[[#This Row],[ItemsInCart]]&gt;=Sheet1[[#This Row],[Quantity]]), "Good", "Bad")</f>
        <v>Good</v>
      </c>
      <c r="Q1195" t="str">
        <f t="shared" si="90"/>
        <v>OK</v>
      </c>
      <c r="R1195" t="str">
        <f t="shared" si="91"/>
        <v>GOOD</v>
      </c>
      <c r="S1195">
        <f t="shared" si="92"/>
        <v>0</v>
      </c>
      <c r="T1195">
        <f t="shared" si="93"/>
        <v>0</v>
      </c>
      <c r="U1195" t="str">
        <f t="shared" si="94"/>
        <v>OK</v>
      </c>
    </row>
    <row r="1196" spans="1:21">
      <c r="A1196" t="s">
        <v>1208</v>
      </c>
      <c r="B1196" t="s">
        <v>4897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 t="str">
        <f>IF((Sheet1[[#This Row],[Quantity]]*Sheet1[[#This Row],[UnitPrice]])=(Sheet1[[#This Row],[TotalPrice]]), "True", "False")</f>
        <v>True</v>
      </c>
      <c r="P1196" t="str">
        <f>IF((Sheet1[[#This Row],[ItemsInCart]]&gt;=Sheet1[[#This Row],[Quantity]]), "Good", "Bad")</f>
        <v>Good</v>
      </c>
      <c r="Q1196" t="str">
        <f t="shared" si="90"/>
        <v>OK</v>
      </c>
      <c r="R1196" t="str">
        <f t="shared" si="91"/>
        <v>BAD</v>
      </c>
      <c r="S1196">
        <f t="shared" si="92"/>
        <v>0</v>
      </c>
      <c r="T1196">
        <f t="shared" si="93"/>
        <v>1</v>
      </c>
      <c r="U1196" t="str">
        <f t="shared" si="94"/>
        <v>DOCUMENTED</v>
      </c>
    </row>
    <row r="1197" spans="1:21">
      <c r="A1197" t="s">
        <v>1209</v>
      </c>
      <c r="B1197" t="s">
        <v>4926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 t="str">
        <f>IF((Sheet1[[#This Row],[Quantity]]*Sheet1[[#This Row],[UnitPrice]])=(Sheet1[[#This Row],[TotalPrice]]), "True", "False")</f>
        <v>True</v>
      </c>
      <c r="P1197" t="str">
        <f>IF((Sheet1[[#This Row],[ItemsInCart]]&gt;=Sheet1[[#This Row],[Quantity]]), "Good", "Bad")</f>
        <v>Good</v>
      </c>
      <c r="Q1197" t="str">
        <f t="shared" si="90"/>
        <v>OK</v>
      </c>
      <c r="R1197" t="str">
        <f t="shared" si="91"/>
        <v>BAD</v>
      </c>
      <c r="S1197">
        <f t="shared" si="92"/>
        <v>0</v>
      </c>
      <c r="T1197">
        <f t="shared" si="93"/>
        <v>1</v>
      </c>
      <c r="U1197" t="str">
        <f t="shared" si="94"/>
        <v>REVIEW_RETURN</v>
      </c>
    </row>
    <row r="1198" spans="1:21">
      <c r="A1198" t="s">
        <v>1210</v>
      </c>
      <c r="B1198" t="s">
        <v>4951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4961</v>
      </c>
      <c r="M1198" t="s">
        <v>4281</v>
      </c>
      <c r="N1198">
        <v>1325.06</v>
      </c>
      <c r="O1198" t="str">
        <f>IF((Sheet1[[#This Row],[Quantity]]*Sheet1[[#This Row],[UnitPrice]])=(Sheet1[[#This Row],[TotalPrice]]), "True", "False")</f>
        <v>True</v>
      </c>
      <c r="P1198" t="str">
        <f>IF((Sheet1[[#This Row],[ItemsInCart]]&gt;=Sheet1[[#This Row],[Quantity]]), "Good", "Bad")</f>
        <v>Good</v>
      </c>
      <c r="Q1198" t="str">
        <f t="shared" si="90"/>
        <v>OK</v>
      </c>
      <c r="R1198" t="str">
        <f t="shared" si="91"/>
        <v>BAD</v>
      </c>
      <c r="S1198">
        <f t="shared" si="92"/>
        <v>0</v>
      </c>
      <c r="T1198">
        <f t="shared" si="93"/>
        <v>1</v>
      </c>
      <c r="U1198" t="str">
        <f t="shared" si="94"/>
        <v>REVIEW_RETURN</v>
      </c>
    </row>
    <row r="1199" spans="1:21">
      <c r="A1199" t="s">
        <v>1211</v>
      </c>
      <c r="B1199" t="s">
        <v>4952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 t="str">
        <f>IF((Sheet1[[#This Row],[Quantity]]*Sheet1[[#This Row],[UnitPrice]])=(Sheet1[[#This Row],[TotalPrice]]), "True", "False")</f>
        <v>True</v>
      </c>
      <c r="P1199" t="str">
        <f>IF((Sheet1[[#This Row],[ItemsInCart]]&gt;=Sheet1[[#This Row],[Quantity]]), "Good", "Bad")</f>
        <v>Good</v>
      </c>
      <c r="Q1199" t="str">
        <f t="shared" si="90"/>
        <v>OK</v>
      </c>
      <c r="R1199" t="str">
        <f t="shared" si="91"/>
        <v>GOOD</v>
      </c>
      <c r="S1199">
        <f t="shared" si="92"/>
        <v>0</v>
      </c>
      <c r="T1199">
        <f t="shared" si="93"/>
        <v>0</v>
      </c>
      <c r="U1199" t="str">
        <f t="shared" si="94"/>
        <v>OK</v>
      </c>
    </row>
    <row r="1200" spans="1:21">
      <c r="A1200" t="s">
        <v>1212</v>
      </c>
      <c r="B1200" t="s">
        <v>4953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 t="str">
        <f>IF((Sheet1[[#This Row],[Quantity]]*Sheet1[[#This Row],[UnitPrice]])=(Sheet1[[#This Row],[TotalPrice]]), "True", "False")</f>
        <v>True</v>
      </c>
      <c r="P1200" t="str">
        <f>IF((Sheet1[[#This Row],[ItemsInCart]]&gt;=Sheet1[[#This Row],[Quantity]]), "Good", "Bad")</f>
        <v>Good</v>
      </c>
      <c r="Q1200" t="str">
        <f t="shared" si="90"/>
        <v>OK</v>
      </c>
      <c r="R1200" t="str">
        <f t="shared" si="91"/>
        <v>BAD</v>
      </c>
      <c r="S1200">
        <f t="shared" si="92"/>
        <v>0</v>
      </c>
      <c r="T1200">
        <f t="shared" si="93"/>
        <v>1</v>
      </c>
      <c r="U1200" t="str">
        <f t="shared" si="94"/>
        <v>REVIEW_RETURN</v>
      </c>
    </row>
    <row r="1201" spans="1:21">
      <c r="A1201" t="s">
        <v>1213</v>
      </c>
      <c r="B1201" t="s">
        <v>4519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 t="str">
        <f>IF((Sheet1[[#This Row],[Quantity]]*Sheet1[[#This Row],[UnitPrice]])=(Sheet1[[#This Row],[TotalPrice]]), "True", "False")</f>
        <v>True</v>
      </c>
      <c r="P1201" t="str">
        <f>IF((Sheet1[[#This Row],[ItemsInCart]]&gt;=Sheet1[[#This Row],[Quantity]]), "Good", "Bad")</f>
        <v>Good</v>
      </c>
      <c r="Q1201" t="str">
        <f t="shared" si="90"/>
        <v>OK</v>
      </c>
      <c r="R1201" t="str">
        <f t="shared" si="91"/>
        <v>GOOD</v>
      </c>
      <c r="S1201">
        <f t="shared" si="92"/>
        <v>0</v>
      </c>
      <c r="T1201">
        <f t="shared" si="93"/>
        <v>0</v>
      </c>
      <c r="U1201" t="str">
        <f t="shared" si="94"/>
        <v>OK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5"/>
  <cols>
    <col min="2" max="2" width="10.42578125" bestFit="1" customWidth="1"/>
    <col min="3" max="3" width="11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C40736-A24F-43F0-9FFE-A120B58AFB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</cp:lastModifiedBy>
  <dcterms:created xsi:type="dcterms:W3CDTF">2025-06-21T13:19:12Z</dcterms:created>
  <dcterms:modified xsi:type="dcterms:W3CDTF">2026-09-12T18:56:51Z</dcterms:modified>
</cp:coreProperties>
</file>